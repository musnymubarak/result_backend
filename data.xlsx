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usny\Desktop\GPA_Cal\result_backend\"/>
    </mc:Choice>
  </mc:AlternateContent>
  <xr:revisionPtr revIDLastSave="0" documentId="13_ncr:1_{EA2D0336-AF6C-4B99-AB16-6B9AAEF3F8B5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1.1" sheetId="1" r:id="rId1"/>
    <sheet name="1.2" sheetId="2" r:id="rId2"/>
    <sheet name="2.1" sheetId="3" r:id="rId3"/>
    <sheet name="2.2" sheetId="4" r:id="rId4"/>
    <sheet name="3.1" sheetId="5" r:id="rId5"/>
    <sheet name="3.2" sheetId="6" r:id="rId6"/>
    <sheet name="4.1" sheetId="7" r:id="rId7"/>
    <sheet name="4.2" sheetId="8" r:id="rId8"/>
    <sheet name="OGPA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8" i="6" l="1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I108" i="5"/>
  <c r="I107" i="5"/>
  <c r="I106" i="5"/>
  <c r="G106" i="9" s="1"/>
  <c r="I105" i="5"/>
  <c r="I104" i="5"/>
  <c r="I103" i="5"/>
  <c r="I102" i="5"/>
  <c r="G102" i="9" s="1"/>
  <c r="I101" i="5"/>
  <c r="I100" i="5"/>
  <c r="I99" i="5"/>
  <c r="I98" i="5"/>
  <c r="I97" i="5"/>
  <c r="G97" i="9" s="1"/>
  <c r="I96" i="5"/>
  <c r="I95" i="5"/>
  <c r="G95" i="9" s="1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G81" i="9" s="1"/>
  <c r="I80" i="5"/>
  <c r="I79" i="5"/>
  <c r="G79" i="9" s="1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G65" i="9" s="1"/>
  <c r="I64" i="5"/>
  <c r="I63" i="5"/>
  <c r="G63" i="9" s="1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G49" i="9" s="1"/>
  <c r="I48" i="5"/>
  <c r="I47" i="5"/>
  <c r="G47" i="9" s="1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G33" i="9" s="1"/>
  <c r="I32" i="5"/>
  <c r="I31" i="5"/>
  <c r="G31" i="9" s="1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G17" i="9" s="1"/>
  <c r="I16" i="5"/>
  <c r="I15" i="5"/>
  <c r="G15" i="9" s="1"/>
  <c r="I14" i="5"/>
  <c r="I13" i="5"/>
  <c r="I12" i="5"/>
  <c r="I11" i="5"/>
  <c r="I10" i="5"/>
  <c r="I9" i="5"/>
  <c r="I8" i="5"/>
  <c r="I7" i="5"/>
  <c r="I6" i="5"/>
  <c r="I5" i="5"/>
  <c r="I4" i="5"/>
  <c r="I3" i="5"/>
  <c r="I2" i="5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H108" i="3"/>
  <c r="E108" i="9" s="1"/>
  <c r="H107" i="3"/>
  <c r="H106" i="3"/>
  <c r="H105" i="3"/>
  <c r="H104" i="3"/>
  <c r="E104" i="9" s="1"/>
  <c r="H103" i="3"/>
  <c r="E103" i="9" s="1"/>
  <c r="H102" i="3"/>
  <c r="H101" i="3"/>
  <c r="E101" i="9" s="1"/>
  <c r="H100" i="3"/>
  <c r="E100" i="9" s="1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E87" i="9" s="1"/>
  <c r="H86" i="3"/>
  <c r="H85" i="3"/>
  <c r="E85" i="9" s="1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E71" i="9" s="1"/>
  <c r="H70" i="3"/>
  <c r="H69" i="3"/>
  <c r="E69" i="9" s="1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E55" i="9" s="1"/>
  <c r="H54" i="3"/>
  <c r="H53" i="3"/>
  <c r="E53" i="9" s="1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E39" i="9" s="1"/>
  <c r="H38" i="3"/>
  <c r="H37" i="3"/>
  <c r="E37" i="9" s="1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E23" i="9" s="1"/>
  <c r="H22" i="3"/>
  <c r="H21" i="3"/>
  <c r="E21" i="9" s="1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E7" i="9" s="1"/>
  <c r="H6" i="3"/>
  <c r="H5" i="3"/>
  <c r="E5" i="9" s="1"/>
  <c r="H4" i="3"/>
  <c r="H3" i="3"/>
  <c r="H2" i="3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K108" i="9"/>
  <c r="J108" i="9"/>
  <c r="L108" i="9" s="1"/>
  <c r="N108" i="9" s="1"/>
  <c r="G108" i="9"/>
  <c r="K107" i="9"/>
  <c r="J107" i="9"/>
  <c r="G107" i="9"/>
  <c r="E107" i="9"/>
  <c r="K106" i="9"/>
  <c r="J106" i="9"/>
  <c r="L106" i="9" s="1"/>
  <c r="E106" i="9"/>
  <c r="K105" i="9"/>
  <c r="J105" i="9"/>
  <c r="G105" i="9"/>
  <c r="E105" i="9"/>
  <c r="I105" i="9" s="1"/>
  <c r="K104" i="9"/>
  <c r="J104" i="9"/>
  <c r="L104" i="9" s="1"/>
  <c r="G104" i="9"/>
  <c r="K103" i="9"/>
  <c r="J103" i="9"/>
  <c r="L103" i="9" s="1"/>
  <c r="G103" i="9"/>
  <c r="K102" i="9"/>
  <c r="J102" i="9"/>
  <c r="L102" i="9" s="1"/>
  <c r="E102" i="9"/>
  <c r="K101" i="9"/>
  <c r="J101" i="9"/>
  <c r="G101" i="9"/>
  <c r="K100" i="9"/>
  <c r="J100" i="9"/>
  <c r="L100" i="9" s="1"/>
  <c r="N100" i="9" s="1"/>
  <c r="G100" i="9"/>
  <c r="K99" i="9"/>
  <c r="J99" i="9"/>
  <c r="L99" i="9" s="1"/>
  <c r="G99" i="9"/>
  <c r="E99" i="9"/>
  <c r="K98" i="9"/>
  <c r="J98" i="9"/>
  <c r="G98" i="9"/>
  <c r="E98" i="9"/>
  <c r="K97" i="9"/>
  <c r="J97" i="9"/>
  <c r="L97" i="9" s="1"/>
  <c r="N97" i="9" s="1"/>
  <c r="E97" i="9"/>
  <c r="K96" i="9"/>
  <c r="J96" i="9"/>
  <c r="G96" i="9"/>
  <c r="E96" i="9"/>
  <c r="K95" i="9"/>
  <c r="J95" i="9"/>
  <c r="E95" i="9"/>
  <c r="K94" i="9"/>
  <c r="J94" i="9"/>
  <c r="L94" i="9" s="1"/>
  <c r="G94" i="9"/>
  <c r="E94" i="9"/>
  <c r="K93" i="9"/>
  <c r="J93" i="9"/>
  <c r="G93" i="9"/>
  <c r="E93" i="9"/>
  <c r="K92" i="9"/>
  <c r="J92" i="9"/>
  <c r="L92" i="9" s="1"/>
  <c r="N92" i="9" s="1"/>
  <c r="G92" i="9"/>
  <c r="E92" i="9"/>
  <c r="K91" i="9"/>
  <c r="J91" i="9"/>
  <c r="L91" i="9" s="1"/>
  <c r="G91" i="9"/>
  <c r="E91" i="9"/>
  <c r="K90" i="9"/>
  <c r="J90" i="9"/>
  <c r="L90" i="9" s="1"/>
  <c r="G90" i="9"/>
  <c r="E90" i="9"/>
  <c r="K89" i="9"/>
  <c r="J89" i="9"/>
  <c r="L89" i="9" s="1"/>
  <c r="G89" i="9"/>
  <c r="E89" i="9"/>
  <c r="K88" i="9"/>
  <c r="J88" i="9"/>
  <c r="L88" i="9" s="1"/>
  <c r="G88" i="9"/>
  <c r="E88" i="9"/>
  <c r="K87" i="9"/>
  <c r="J87" i="9"/>
  <c r="L87" i="9" s="1"/>
  <c r="N87" i="9" s="1"/>
  <c r="G87" i="9"/>
  <c r="L86" i="9"/>
  <c r="N86" i="9" s="1"/>
  <c r="K86" i="9"/>
  <c r="J86" i="9"/>
  <c r="G86" i="9"/>
  <c r="E86" i="9"/>
  <c r="K85" i="9"/>
  <c r="J85" i="9"/>
  <c r="G85" i="9"/>
  <c r="K84" i="9"/>
  <c r="J84" i="9"/>
  <c r="G84" i="9"/>
  <c r="E84" i="9"/>
  <c r="K83" i="9"/>
  <c r="J83" i="9"/>
  <c r="G83" i="9"/>
  <c r="E83" i="9"/>
  <c r="K82" i="9"/>
  <c r="J82" i="9"/>
  <c r="L82" i="9" s="1"/>
  <c r="G82" i="9"/>
  <c r="I82" i="9" s="1"/>
  <c r="E82" i="9"/>
  <c r="L81" i="9"/>
  <c r="N81" i="9" s="1"/>
  <c r="K81" i="9"/>
  <c r="J81" i="9"/>
  <c r="E81" i="9"/>
  <c r="K80" i="9"/>
  <c r="J80" i="9"/>
  <c r="G80" i="9"/>
  <c r="E80" i="9"/>
  <c r="K79" i="9"/>
  <c r="J79" i="9"/>
  <c r="L79" i="9" s="1"/>
  <c r="E79" i="9"/>
  <c r="K78" i="9"/>
  <c r="J78" i="9"/>
  <c r="L78" i="9" s="1"/>
  <c r="G78" i="9"/>
  <c r="E78" i="9"/>
  <c r="K77" i="9"/>
  <c r="J77" i="9"/>
  <c r="L77" i="9" s="1"/>
  <c r="N77" i="9" s="1"/>
  <c r="G77" i="9"/>
  <c r="E77" i="9"/>
  <c r="K76" i="9"/>
  <c r="J76" i="9"/>
  <c r="L76" i="9" s="1"/>
  <c r="N76" i="9" s="1"/>
  <c r="G76" i="9"/>
  <c r="E76" i="9"/>
  <c r="K75" i="9"/>
  <c r="J75" i="9"/>
  <c r="L75" i="9" s="1"/>
  <c r="G75" i="9"/>
  <c r="E75" i="9"/>
  <c r="K74" i="9"/>
  <c r="J74" i="9"/>
  <c r="G74" i="9"/>
  <c r="I74" i="9" s="1"/>
  <c r="E74" i="9"/>
  <c r="L73" i="9"/>
  <c r="N73" i="9" s="1"/>
  <c r="K73" i="9"/>
  <c r="J73" i="9"/>
  <c r="G73" i="9"/>
  <c r="E73" i="9"/>
  <c r="K72" i="9"/>
  <c r="J72" i="9"/>
  <c r="L72" i="9" s="1"/>
  <c r="G72" i="9"/>
  <c r="E72" i="9"/>
  <c r="K71" i="9"/>
  <c r="J71" i="9"/>
  <c r="L71" i="9" s="1"/>
  <c r="N71" i="9" s="1"/>
  <c r="G71" i="9"/>
  <c r="K70" i="9"/>
  <c r="J70" i="9"/>
  <c r="L70" i="9" s="1"/>
  <c r="G70" i="9"/>
  <c r="E70" i="9"/>
  <c r="K69" i="9"/>
  <c r="J69" i="9"/>
  <c r="L69" i="9" s="1"/>
  <c r="G69" i="9"/>
  <c r="K68" i="9"/>
  <c r="J68" i="9"/>
  <c r="L68" i="9" s="1"/>
  <c r="N68" i="9" s="1"/>
  <c r="G68" i="9"/>
  <c r="E68" i="9"/>
  <c r="K67" i="9"/>
  <c r="J67" i="9"/>
  <c r="L67" i="9" s="1"/>
  <c r="G67" i="9"/>
  <c r="E67" i="9"/>
  <c r="I67" i="9" s="1"/>
  <c r="K66" i="9"/>
  <c r="J66" i="9"/>
  <c r="L66" i="9" s="1"/>
  <c r="G66" i="9"/>
  <c r="E66" i="9"/>
  <c r="K65" i="9"/>
  <c r="J65" i="9"/>
  <c r="L65" i="9" s="1"/>
  <c r="E65" i="9"/>
  <c r="I65" i="9" s="1"/>
  <c r="K64" i="9"/>
  <c r="J64" i="9"/>
  <c r="L64" i="9" s="1"/>
  <c r="N64" i="9" s="1"/>
  <c r="G64" i="9"/>
  <c r="E64" i="9"/>
  <c r="K63" i="9"/>
  <c r="J63" i="9"/>
  <c r="L63" i="9" s="1"/>
  <c r="N63" i="9" s="1"/>
  <c r="E63" i="9"/>
  <c r="K62" i="9"/>
  <c r="J62" i="9"/>
  <c r="L62" i="9" s="1"/>
  <c r="G62" i="9"/>
  <c r="E62" i="9"/>
  <c r="K61" i="9"/>
  <c r="J61" i="9"/>
  <c r="L61" i="9" s="1"/>
  <c r="N61" i="9" s="1"/>
  <c r="G61" i="9"/>
  <c r="E61" i="9"/>
  <c r="K60" i="9"/>
  <c r="J60" i="9"/>
  <c r="L60" i="9" s="1"/>
  <c r="N60" i="9" s="1"/>
  <c r="G60" i="9"/>
  <c r="E60" i="9"/>
  <c r="K59" i="9"/>
  <c r="J59" i="9"/>
  <c r="L59" i="9" s="1"/>
  <c r="G59" i="9"/>
  <c r="E59" i="9"/>
  <c r="I59" i="9" s="1"/>
  <c r="K58" i="9"/>
  <c r="J58" i="9"/>
  <c r="G58" i="9"/>
  <c r="E58" i="9"/>
  <c r="K57" i="9"/>
  <c r="J57" i="9"/>
  <c r="G57" i="9"/>
  <c r="E57" i="9"/>
  <c r="K56" i="9"/>
  <c r="J56" i="9"/>
  <c r="G56" i="9"/>
  <c r="E56" i="9"/>
  <c r="L55" i="9"/>
  <c r="N55" i="9" s="1"/>
  <c r="K55" i="9"/>
  <c r="J55" i="9"/>
  <c r="G55" i="9"/>
  <c r="K54" i="9"/>
  <c r="J54" i="9"/>
  <c r="G54" i="9"/>
  <c r="E54" i="9"/>
  <c r="I54" i="9" s="1"/>
  <c r="K53" i="9"/>
  <c r="J53" i="9"/>
  <c r="G53" i="9"/>
  <c r="K52" i="9"/>
  <c r="J52" i="9"/>
  <c r="G52" i="9"/>
  <c r="E52" i="9"/>
  <c r="K51" i="9"/>
  <c r="J51" i="9"/>
  <c r="G51" i="9"/>
  <c r="E51" i="9"/>
  <c r="K50" i="9"/>
  <c r="J50" i="9"/>
  <c r="G50" i="9"/>
  <c r="E50" i="9"/>
  <c r="K49" i="9"/>
  <c r="J49" i="9"/>
  <c r="L49" i="9" s="1"/>
  <c r="E49" i="9"/>
  <c r="K48" i="9"/>
  <c r="J48" i="9"/>
  <c r="G48" i="9"/>
  <c r="E48" i="9"/>
  <c r="K47" i="9"/>
  <c r="J47" i="9"/>
  <c r="L47" i="9" s="1"/>
  <c r="N47" i="9" s="1"/>
  <c r="E47" i="9"/>
  <c r="K46" i="9"/>
  <c r="J46" i="9"/>
  <c r="G46" i="9"/>
  <c r="E46" i="9"/>
  <c r="K45" i="9"/>
  <c r="J45" i="9"/>
  <c r="G45" i="9"/>
  <c r="E45" i="9"/>
  <c r="K44" i="9"/>
  <c r="J44" i="9"/>
  <c r="G44" i="9"/>
  <c r="E44" i="9"/>
  <c r="K43" i="9"/>
  <c r="J43" i="9"/>
  <c r="L43" i="9" s="1"/>
  <c r="G43" i="9"/>
  <c r="E43" i="9"/>
  <c r="K42" i="9"/>
  <c r="J42" i="9"/>
  <c r="G42" i="9"/>
  <c r="E42" i="9"/>
  <c r="K41" i="9"/>
  <c r="J41" i="9"/>
  <c r="G41" i="9"/>
  <c r="E41" i="9"/>
  <c r="K40" i="9"/>
  <c r="J40" i="9"/>
  <c r="G40" i="9"/>
  <c r="E40" i="9"/>
  <c r="K39" i="9"/>
  <c r="J39" i="9"/>
  <c r="G39" i="9"/>
  <c r="K38" i="9"/>
  <c r="J38" i="9"/>
  <c r="L38" i="9" s="1"/>
  <c r="G38" i="9"/>
  <c r="E38" i="9"/>
  <c r="K37" i="9"/>
  <c r="J37" i="9"/>
  <c r="L37" i="9" s="1"/>
  <c r="G37" i="9"/>
  <c r="K36" i="9"/>
  <c r="J36" i="9"/>
  <c r="L36" i="9" s="1"/>
  <c r="G36" i="9"/>
  <c r="E36" i="9"/>
  <c r="I36" i="9" s="1"/>
  <c r="K35" i="9"/>
  <c r="J35" i="9"/>
  <c r="G35" i="9"/>
  <c r="E35" i="9"/>
  <c r="K34" i="9"/>
  <c r="J34" i="9"/>
  <c r="L34" i="9" s="1"/>
  <c r="G34" i="9"/>
  <c r="E34" i="9"/>
  <c r="K33" i="9"/>
  <c r="J33" i="9"/>
  <c r="L33" i="9" s="1"/>
  <c r="E33" i="9"/>
  <c r="L32" i="9"/>
  <c r="N32" i="9" s="1"/>
  <c r="K32" i="9"/>
  <c r="J32" i="9"/>
  <c r="G32" i="9"/>
  <c r="E32" i="9"/>
  <c r="I32" i="9" s="1"/>
  <c r="K31" i="9"/>
  <c r="J31" i="9"/>
  <c r="L31" i="9" s="1"/>
  <c r="N31" i="9" s="1"/>
  <c r="E31" i="9"/>
  <c r="K30" i="9"/>
  <c r="J30" i="9"/>
  <c r="G30" i="9"/>
  <c r="E30" i="9"/>
  <c r="K29" i="9"/>
  <c r="J29" i="9"/>
  <c r="G29" i="9"/>
  <c r="E29" i="9"/>
  <c r="I29" i="9" s="1"/>
  <c r="K28" i="9"/>
  <c r="J28" i="9"/>
  <c r="G28" i="9"/>
  <c r="E28" i="9"/>
  <c r="K27" i="9"/>
  <c r="J27" i="9"/>
  <c r="L27" i="9" s="1"/>
  <c r="G27" i="9"/>
  <c r="E27" i="9"/>
  <c r="K26" i="9"/>
  <c r="J26" i="9"/>
  <c r="L26" i="9" s="1"/>
  <c r="G26" i="9"/>
  <c r="E26" i="9"/>
  <c r="K25" i="9"/>
  <c r="J25" i="9"/>
  <c r="L25" i="9" s="1"/>
  <c r="G25" i="9"/>
  <c r="E25" i="9"/>
  <c r="I25" i="9" s="1"/>
  <c r="K24" i="9"/>
  <c r="J24" i="9"/>
  <c r="L24" i="9" s="1"/>
  <c r="G24" i="9"/>
  <c r="E24" i="9"/>
  <c r="K23" i="9"/>
  <c r="J23" i="9"/>
  <c r="L23" i="9" s="1"/>
  <c r="N23" i="9" s="1"/>
  <c r="G23" i="9"/>
  <c r="K22" i="9"/>
  <c r="J22" i="9"/>
  <c r="L22" i="9" s="1"/>
  <c r="G22" i="9"/>
  <c r="E22" i="9"/>
  <c r="K21" i="9"/>
  <c r="J21" i="9"/>
  <c r="G21" i="9"/>
  <c r="K20" i="9"/>
  <c r="J20" i="9"/>
  <c r="G20" i="9"/>
  <c r="E20" i="9"/>
  <c r="K19" i="9"/>
  <c r="J19" i="9"/>
  <c r="L19" i="9" s="1"/>
  <c r="G19" i="9"/>
  <c r="E19" i="9"/>
  <c r="K18" i="9"/>
  <c r="J18" i="9"/>
  <c r="G18" i="9"/>
  <c r="E18" i="9"/>
  <c r="K17" i="9"/>
  <c r="J17" i="9"/>
  <c r="E17" i="9"/>
  <c r="K16" i="9"/>
  <c r="J16" i="9"/>
  <c r="L16" i="9" s="1"/>
  <c r="G16" i="9"/>
  <c r="E16" i="9"/>
  <c r="K15" i="9"/>
  <c r="J15" i="9"/>
  <c r="E15" i="9"/>
  <c r="K14" i="9"/>
  <c r="J14" i="9"/>
  <c r="G14" i="9"/>
  <c r="E14" i="9"/>
  <c r="I14" i="9" s="1"/>
  <c r="K13" i="9"/>
  <c r="J13" i="9"/>
  <c r="G13" i="9"/>
  <c r="E13" i="9"/>
  <c r="K12" i="9"/>
  <c r="J12" i="9"/>
  <c r="L12" i="9" s="1"/>
  <c r="G12" i="9"/>
  <c r="E12" i="9"/>
  <c r="I12" i="9" s="1"/>
  <c r="K11" i="9"/>
  <c r="J11" i="9"/>
  <c r="G11" i="9"/>
  <c r="E11" i="9"/>
  <c r="K10" i="9"/>
  <c r="J10" i="9"/>
  <c r="L10" i="9" s="1"/>
  <c r="G10" i="9"/>
  <c r="E10" i="9"/>
  <c r="K9" i="9"/>
  <c r="J9" i="9"/>
  <c r="L9" i="9" s="1"/>
  <c r="G9" i="9"/>
  <c r="E9" i="9"/>
  <c r="K8" i="9"/>
  <c r="J8" i="9"/>
  <c r="L8" i="9" s="1"/>
  <c r="G8" i="9"/>
  <c r="E8" i="9"/>
  <c r="K7" i="9"/>
  <c r="L7" i="9" s="1"/>
  <c r="J7" i="9"/>
  <c r="G7" i="9"/>
  <c r="K6" i="9"/>
  <c r="J6" i="9"/>
  <c r="L6" i="9" s="1"/>
  <c r="N6" i="9" s="1"/>
  <c r="G6" i="9"/>
  <c r="E6" i="9"/>
  <c r="K5" i="9"/>
  <c r="J5" i="9"/>
  <c r="L5" i="9" s="1"/>
  <c r="G5" i="9"/>
  <c r="K4" i="9"/>
  <c r="J4" i="9"/>
  <c r="G4" i="9"/>
  <c r="E4" i="9"/>
  <c r="K3" i="9"/>
  <c r="J3" i="9"/>
  <c r="L3" i="9" s="1"/>
  <c r="G3" i="9"/>
  <c r="E3" i="9"/>
  <c r="K2" i="9"/>
  <c r="J2" i="9"/>
  <c r="L2" i="9" s="1"/>
  <c r="G2" i="9"/>
  <c r="E2" i="9"/>
  <c r="L54" i="9" l="1"/>
  <c r="N54" i="9" s="1"/>
  <c r="L105" i="9"/>
  <c r="N105" i="9" s="1"/>
  <c r="I84" i="9"/>
  <c r="I92" i="9"/>
  <c r="I18" i="9"/>
  <c r="I26" i="9"/>
  <c r="I43" i="9"/>
  <c r="M43" i="9" s="1"/>
  <c r="O43" i="9" s="1"/>
  <c r="L84" i="9"/>
  <c r="N84" i="9" s="1"/>
  <c r="I77" i="9"/>
  <c r="M77" i="9" s="1"/>
  <c r="O77" i="9" s="1"/>
  <c r="I52" i="9"/>
  <c r="L56" i="9"/>
  <c r="I98" i="9"/>
  <c r="I90" i="9"/>
  <c r="I94" i="9"/>
  <c r="M94" i="9" s="1"/>
  <c r="O94" i="9" s="1"/>
  <c r="I24" i="9"/>
  <c r="I28" i="9"/>
  <c r="M28" i="9" s="1"/>
  <c r="O28" i="9" s="1"/>
  <c r="L57" i="9"/>
  <c r="N57" i="9" s="1"/>
  <c r="I41" i="9"/>
  <c r="L20" i="9"/>
  <c r="N20" i="9" s="1"/>
  <c r="L28" i="9"/>
  <c r="L41" i="9"/>
  <c r="N41" i="9" s="1"/>
  <c r="L45" i="9"/>
  <c r="I50" i="9"/>
  <c r="L80" i="9"/>
  <c r="L96" i="9"/>
  <c r="M96" i="9" s="1"/>
  <c r="O96" i="9" s="1"/>
  <c r="I11" i="9"/>
  <c r="I3" i="9"/>
  <c r="M3" i="9" s="1"/>
  <c r="O3" i="9" s="1"/>
  <c r="I20" i="9"/>
  <c r="L52" i="9"/>
  <c r="I16" i="9"/>
  <c r="I45" i="9"/>
  <c r="I89" i="9"/>
  <c r="M89" i="9" s="1"/>
  <c r="O89" i="9" s="1"/>
  <c r="I93" i="9"/>
  <c r="L85" i="9"/>
  <c r="M22" i="9"/>
  <c r="O22" i="9" s="1"/>
  <c r="I4" i="9"/>
  <c r="I66" i="9"/>
  <c r="M66" i="9" s="1"/>
  <c r="O66" i="9" s="1"/>
  <c r="I78" i="9"/>
  <c r="M78" i="9" s="1"/>
  <c r="O78" i="9" s="1"/>
  <c r="I86" i="9"/>
  <c r="M86" i="9" s="1"/>
  <c r="O86" i="9" s="1"/>
  <c r="L93" i="9"/>
  <c r="M93" i="9" s="1"/>
  <c r="O93" i="9" s="1"/>
  <c r="I107" i="9"/>
  <c r="M107" i="9" s="1"/>
  <c r="O107" i="9" s="1"/>
  <c r="I101" i="9"/>
  <c r="M101" i="9" s="1"/>
  <c r="O101" i="9" s="1"/>
  <c r="L21" i="9"/>
  <c r="N21" i="9" s="1"/>
  <c r="L29" i="9"/>
  <c r="M29" i="9" s="1"/>
  <c r="O29" i="9" s="1"/>
  <c r="I38" i="9"/>
  <c r="M38" i="9" s="1"/>
  <c r="O38" i="9" s="1"/>
  <c r="L4" i="9"/>
  <c r="N4" i="9" s="1"/>
  <c r="I9" i="9"/>
  <c r="I13" i="9"/>
  <c r="I34" i="9"/>
  <c r="L42" i="9"/>
  <c r="L50" i="9"/>
  <c r="I22" i="9"/>
  <c r="L46" i="9"/>
  <c r="N46" i="9" s="1"/>
  <c r="L13" i="9"/>
  <c r="I35" i="9"/>
  <c r="M35" i="9" s="1"/>
  <c r="O35" i="9" s="1"/>
  <c r="L39" i="9"/>
  <c r="N39" i="9" s="1"/>
  <c r="L51" i="9"/>
  <c r="I91" i="9"/>
  <c r="L95" i="9"/>
  <c r="L83" i="9"/>
  <c r="M83" i="9" s="1"/>
  <c r="O83" i="9" s="1"/>
  <c r="I108" i="9"/>
  <c r="M108" i="9" s="1"/>
  <c r="O108" i="9" s="1"/>
  <c r="I2" i="9"/>
  <c r="M2" i="9" s="1"/>
  <c r="O2" i="9" s="1"/>
  <c r="L14" i="9"/>
  <c r="N14" i="9" s="1"/>
  <c r="I27" i="9"/>
  <c r="M27" i="9" s="1"/>
  <c r="O27" i="9" s="1"/>
  <c r="I40" i="9"/>
  <c r="I60" i="9"/>
  <c r="M60" i="9" s="1"/>
  <c r="O60" i="9" s="1"/>
  <c r="I64" i="9"/>
  <c r="M64" i="9" s="1"/>
  <c r="O64" i="9" s="1"/>
  <c r="I68" i="9"/>
  <c r="I72" i="9"/>
  <c r="M72" i="9" s="1"/>
  <c r="O72" i="9" s="1"/>
  <c r="I76" i="9"/>
  <c r="M76" i="9" s="1"/>
  <c r="O76" i="9" s="1"/>
  <c r="I96" i="9"/>
  <c r="M92" i="9"/>
  <c r="O92" i="9" s="1"/>
  <c r="M36" i="9"/>
  <c r="O36" i="9" s="1"/>
  <c r="N36" i="9"/>
  <c r="N95" i="9"/>
  <c r="I58" i="9"/>
  <c r="L58" i="9"/>
  <c r="N58" i="9" s="1"/>
  <c r="I106" i="9"/>
  <c r="M106" i="9" s="1"/>
  <c r="O106" i="9" s="1"/>
  <c r="M14" i="9"/>
  <c r="O14" i="9" s="1"/>
  <c r="I10" i="9"/>
  <c r="M10" i="9" s="1"/>
  <c r="O10" i="9" s="1"/>
  <c r="L40" i="9"/>
  <c r="N40" i="9" s="1"/>
  <c r="I44" i="9"/>
  <c r="I48" i="9"/>
  <c r="I73" i="9"/>
  <c r="I83" i="9"/>
  <c r="L101" i="9"/>
  <c r="N101" i="9" s="1"/>
  <c r="L18" i="9"/>
  <c r="I30" i="9"/>
  <c r="I62" i="9"/>
  <c r="M62" i="9" s="1"/>
  <c r="O62" i="9" s="1"/>
  <c r="N79" i="9"/>
  <c r="L11" i="9"/>
  <c r="I19" i="9"/>
  <c r="M19" i="9" s="1"/>
  <c r="O19" i="9" s="1"/>
  <c r="L30" i="9"/>
  <c r="N30" i="9" s="1"/>
  <c r="L44" i="9"/>
  <c r="N44" i="9" s="1"/>
  <c r="L48" i="9"/>
  <c r="I70" i="9"/>
  <c r="M70" i="9" s="1"/>
  <c r="O70" i="9" s="1"/>
  <c r="I80" i="9"/>
  <c r="I100" i="9"/>
  <c r="M100" i="9" s="1"/>
  <c r="O100" i="9" s="1"/>
  <c r="I5" i="9"/>
  <c r="M5" i="9" s="1"/>
  <c r="O5" i="9" s="1"/>
  <c r="I21" i="9"/>
  <c r="I37" i="9"/>
  <c r="I53" i="9"/>
  <c r="I69" i="9"/>
  <c r="I85" i="9"/>
  <c r="I15" i="9"/>
  <c r="I31" i="9"/>
  <c r="M31" i="9" s="1"/>
  <c r="O31" i="9" s="1"/>
  <c r="I47" i="9"/>
  <c r="M47" i="9" s="1"/>
  <c r="O47" i="9" s="1"/>
  <c r="I63" i="9"/>
  <c r="M63" i="9" s="1"/>
  <c r="O63" i="9" s="1"/>
  <c r="I79" i="9"/>
  <c r="M79" i="9" s="1"/>
  <c r="O79" i="9" s="1"/>
  <c r="I95" i="9"/>
  <c r="M95" i="9" s="1"/>
  <c r="O95" i="9" s="1"/>
  <c r="I8" i="9"/>
  <c r="M8" i="9" s="1"/>
  <c r="O8" i="9" s="1"/>
  <c r="L15" i="9"/>
  <c r="N15" i="9" s="1"/>
  <c r="I56" i="9"/>
  <c r="M56" i="9" s="1"/>
  <c r="O56" i="9" s="1"/>
  <c r="L98" i="9"/>
  <c r="L107" i="9"/>
  <c r="N107" i="9" s="1"/>
  <c r="I7" i="9"/>
  <c r="M7" i="9" s="1"/>
  <c r="O7" i="9" s="1"/>
  <c r="I23" i="9"/>
  <c r="I39" i="9"/>
  <c r="M39" i="9" s="1"/>
  <c r="O39" i="9" s="1"/>
  <c r="I55" i="9"/>
  <c r="M55" i="9" s="1"/>
  <c r="O55" i="9" s="1"/>
  <c r="I71" i="9"/>
  <c r="M71" i="9" s="1"/>
  <c r="O71" i="9" s="1"/>
  <c r="I87" i="9"/>
  <c r="M87" i="9" s="1"/>
  <c r="O87" i="9" s="1"/>
  <c r="I103" i="9"/>
  <c r="M103" i="9" s="1"/>
  <c r="O103" i="9" s="1"/>
  <c r="I17" i="9"/>
  <c r="I33" i="9"/>
  <c r="I49" i="9"/>
  <c r="M49" i="9" s="1"/>
  <c r="O49" i="9" s="1"/>
  <c r="I81" i="9"/>
  <c r="M81" i="9" s="1"/>
  <c r="O81" i="9" s="1"/>
  <c r="I97" i="9"/>
  <c r="M97" i="9" s="1"/>
  <c r="O97" i="9" s="1"/>
  <c r="I88" i="9"/>
  <c r="M88" i="9" s="1"/>
  <c r="O88" i="9" s="1"/>
  <c r="I99" i="9"/>
  <c r="M99" i="9" s="1"/>
  <c r="O99" i="9" s="1"/>
  <c r="I104" i="9"/>
  <c r="L35" i="9"/>
  <c r="I42" i="9"/>
  <c r="I46" i="9"/>
  <c r="L53" i="9"/>
  <c r="M53" i="9" s="1"/>
  <c r="O53" i="9" s="1"/>
  <c r="I57" i="9"/>
  <c r="L74" i="9"/>
  <c r="M74" i="9" s="1"/>
  <c r="O74" i="9" s="1"/>
  <c r="M32" i="9"/>
  <c r="O32" i="9" s="1"/>
  <c r="I6" i="9"/>
  <c r="M6" i="9" s="1"/>
  <c r="O6" i="9" s="1"/>
  <c r="I61" i="9"/>
  <c r="M61" i="9" s="1"/>
  <c r="O61" i="9" s="1"/>
  <c r="I75" i="9"/>
  <c r="M75" i="9" s="1"/>
  <c r="O75" i="9" s="1"/>
  <c r="I102" i="9"/>
  <c r="M102" i="9" s="1"/>
  <c r="O102" i="9" s="1"/>
  <c r="L17" i="9"/>
  <c r="N17" i="9" s="1"/>
  <c r="I51" i="9"/>
  <c r="M51" i="9" s="1"/>
  <c r="O51" i="9" s="1"/>
  <c r="M105" i="9"/>
  <c r="O105" i="9" s="1"/>
  <c r="N43" i="9"/>
  <c r="N72" i="9"/>
  <c r="N82" i="9"/>
  <c r="M82" i="9"/>
  <c r="O82" i="9" s="1"/>
  <c r="N10" i="9"/>
  <c r="N25" i="9"/>
  <c r="M25" i="9"/>
  <c r="O25" i="9" s="1"/>
  <c r="N33" i="9"/>
  <c r="M33" i="9"/>
  <c r="O33" i="9" s="1"/>
  <c r="M58" i="9"/>
  <c r="O58" i="9" s="1"/>
  <c r="N65" i="9"/>
  <c r="M65" i="9"/>
  <c r="O65" i="9" s="1"/>
  <c r="N3" i="9"/>
  <c r="N93" i="9"/>
  <c r="N106" i="9"/>
  <c r="N18" i="9"/>
  <c r="M18" i="9"/>
  <c r="O18" i="9" s="1"/>
  <c r="N69" i="9"/>
  <c r="M69" i="9"/>
  <c r="O69" i="9" s="1"/>
  <c r="M90" i="9"/>
  <c r="O90" i="9" s="1"/>
  <c r="N90" i="9"/>
  <c r="N37" i="9"/>
  <c r="M37" i="9"/>
  <c r="O37" i="9" s="1"/>
  <c r="N83" i="9"/>
  <c r="N51" i="9"/>
  <c r="N26" i="9"/>
  <c r="M26" i="9"/>
  <c r="O26" i="9" s="1"/>
  <c r="N62" i="9"/>
  <c r="N94" i="9"/>
  <c r="N102" i="9"/>
  <c r="N96" i="9"/>
  <c r="N34" i="9"/>
  <c r="M34" i="9"/>
  <c r="O34" i="9" s="1"/>
  <c r="N59" i="9"/>
  <c r="M59" i="9"/>
  <c r="O59" i="9" s="1"/>
  <c r="N66" i="9"/>
  <c r="N98" i="9"/>
  <c r="M98" i="9"/>
  <c r="O98" i="9" s="1"/>
  <c r="N45" i="9"/>
  <c r="M45" i="9"/>
  <c r="O45" i="9" s="1"/>
  <c r="N80" i="9"/>
  <c r="N103" i="9"/>
  <c r="N12" i="9"/>
  <c r="M12" i="9"/>
  <c r="O12" i="9" s="1"/>
  <c r="N27" i="9"/>
  <c r="N19" i="9"/>
  <c r="N49" i="9"/>
  <c r="N70" i="9"/>
  <c r="N91" i="9"/>
  <c r="M91" i="9"/>
  <c r="O91" i="9" s="1"/>
  <c r="N35" i="9"/>
  <c r="N53" i="9"/>
  <c r="N67" i="9"/>
  <c r="M67" i="9"/>
  <c r="O67" i="9" s="1"/>
  <c r="M84" i="9"/>
  <c r="O84" i="9" s="1"/>
  <c r="N88" i="9"/>
  <c r="N8" i="9"/>
  <c r="N56" i="9"/>
  <c r="N42" i="9"/>
  <c r="N99" i="9"/>
  <c r="M16" i="9"/>
  <c r="O16" i="9" s="1"/>
  <c r="N9" i="9"/>
  <c r="M9" i="9"/>
  <c r="O9" i="9" s="1"/>
  <c r="M20" i="9"/>
  <c r="O20" i="9" s="1"/>
  <c r="M24" i="9"/>
  <c r="O24" i="9" s="1"/>
  <c r="N24" i="9"/>
  <c r="N5" i="9"/>
  <c r="N104" i="9"/>
  <c r="M104" i="9"/>
  <c r="O104" i="9" s="1"/>
  <c r="N2" i="9"/>
  <c r="N28" i="9"/>
  <c r="N75" i="9"/>
  <c r="N78" i="9"/>
  <c r="N89" i="9"/>
  <c r="M23" i="9"/>
  <c r="O23" i="9" s="1"/>
  <c r="N16" i="9"/>
  <c r="N7" i="9"/>
  <c r="M41" i="9"/>
  <c r="O41" i="9" s="1"/>
  <c r="M57" i="9"/>
  <c r="O57" i="9" s="1"/>
  <c r="M73" i="9"/>
  <c r="O73" i="9" s="1"/>
  <c r="M68" i="9"/>
  <c r="O68" i="9" s="1"/>
  <c r="M54" i="9"/>
  <c r="O54" i="9" s="1"/>
  <c r="N22" i="9"/>
  <c r="N38" i="9"/>
  <c r="M52" i="9" l="1"/>
  <c r="O52" i="9" s="1"/>
  <c r="N29" i="9"/>
  <c r="M11" i="9"/>
  <c r="O11" i="9" s="1"/>
  <c r="M13" i="9"/>
  <c r="O13" i="9" s="1"/>
  <c r="M4" i="9"/>
  <c r="O4" i="9" s="1"/>
  <c r="M50" i="9"/>
  <c r="O50" i="9" s="1"/>
  <c r="M44" i="9"/>
  <c r="O44" i="9" s="1"/>
  <c r="M85" i="9"/>
  <c r="O85" i="9" s="1"/>
  <c r="M80" i="9"/>
  <c r="O80" i="9" s="1"/>
  <c r="M48" i="9"/>
  <c r="O48" i="9" s="1"/>
  <c r="M46" i="9"/>
  <c r="O46" i="9" s="1"/>
  <c r="N50" i="9"/>
  <c r="M30" i="9"/>
  <c r="O30" i="9" s="1"/>
  <c r="N13" i="9"/>
  <c r="N85" i="9"/>
  <c r="M21" i="9"/>
  <c r="O21" i="9" s="1"/>
  <c r="N11" i="9"/>
  <c r="M42" i="9"/>
  <c r="O42" i="9" s="1"/>
  <c r="N52" i="9"/>
  <c r="N48" i="9"/>
  <c r="M40" i="9"/>
  <c r="O40" i="9" s="1"/>
  <c r="M17" i="9"/>
  <c r="O17" i="9" s="1"/>
  <c r="M15" i="9"/>
  <c r="O15" i="9" s="1"/>
  <c r="N74" i="9"/>
</calcChain>
</file>

<file path=xl/sharedStrings.xml><?xml version="1.0" encoding="utf-8"?>
<sst xmlns="http://schemas.openxmlformats.org/spreadsheetml/2006/main" count="5980" uniqueCount="347">
  <si>
    <t>Reg.No</t>
  </si>
  <si>
    <t>Name</t>
  </si>
  <si>
    <t>1.1 GPA</t>
  </si>
  <si>
    <t>1.2 GPA</t>
  </si>
  <si>
    <t>2.1 GPA</t>
  </si>
  <si>
    <t>2.2 GPA</t>
  </si>
  <si>
    <t>3.1 GPA</t>
  </si>
  <si>
    <t>3.2 GPA</t>
  </si>
  <si>
    <t>3-Year OCGPA (90 Cr)</t>
  </si>
  <si>
    <t>4.1 GPA (24 Cr)</t>
  </si>
  <si>
    <t>4.2 GPA (6 Cr)</t>
  </si>
  <si>
    <t>Year 4 GPA (30 Cr)</t>
  </si>
  <si>
    <t>Final OCGPA (Degree)</t>
  </si>
  <si>
    <t>Degree Track</t>
  </si>
  <si>
    <t>Degree Class</t>
  </si>
  <si>
    <t>2020/ICT/01</t>
  </si>
  <si>
    <t>Ms. Udisha W.H.I</t>
  </si>
  <si>
    <t>2020/ICT/02</t>
  </si>
  <si>
    <t>Mr. Imran B.M.</t>
  </si>
  <si>
    <t>2020/ICT/03</t>
  </si>
  <si>
    <t>Ms. Shanmugarajah D.</t>
  </si>
  <si>
    <t>2020/ICT/05</t>
  </si>
  <si>
    <t>Mr. Muniweera K.G.U.K.</t>
  </si>
  <si>
    <t>2020/ICT/06</t>
  </si>
  <si>
    <t>Ms. Lourdes Jellorine</t>
  </si>
  <si>
    <t>2020/ICT/07</t>
  </si>
  <si>
    <t>Mr. Nalawansa U.K</t>
  </si>
  <si>
    <t>2020/ICT/08</t>
  </si>
  <si>
    <t>Ms. Devakumar P.</t>
  </si>
  <si>
    <t>2020/ICT/09</t>
  </si>
  <si>
    <t>Ms. Senevirathne S.A.</t>
  </si>
  <si>
    <t>2020/ICT/10</t>
  </si>
  <si>
    <t>Ms. Jegatheeswaran V.</t>
  </si>
  <si>
    <t>2020/ICT/12</t>
  </si>
  <si>
    <t>Ms. Shahla A.A.F.S.</t>
  </si>
  <si>
    <t>2020/ICT/13</t>
  </si>
  <si>
    <t>Ms. Basheery M.K.T.</t>
  </si>
  <si>
    <t>2020/ICT/14</t>
  </si>
  <si>
    <t>Ms. Minha M.S.F.</t>
  </si>
  <si>
    <t>2020/ICT/15</t>
  </si>
  <si>
    <t>Mr. Krishan S.</t>
  </si>
  <si>
    <t>2020/ICT/16</t>
  </si>
  <si>
    <t>Mr. AhamedM.I.A.</t>
  </si>
  <si>
    <t>2020/ICT/17</t>
  </si>
  <si>
    <t>Mr. Lakshitha W.T.</t>
  </si>
  <si>
    <t>2020/ICT/18</t>
  </si>
  <si>
    <t>Mr. Jeewantha I.M.C.</t>
  </si>
  <si>
    <t>2020/ICT/19</t>
  </si>
  <si>
    <t>Mr. Kandanaarachchi K.A.D.</t>
  </si>
  <si>
    <t>2020/ICT/20</t>
  </si>
  <si>
    <t>Mr. Perera M.C.K.</t>
  </si>
  <si>
    <t>2020/ICT/21</t>
  </si>
  <si>
    <t>Mr. Dilakshana K.H.S.</t>
  </si>
  <si>
    <t>2020/ICT/22</t>
  </si>
  <si>
    <t>Mr. Karunathilaka W.L.L.</t>
  </si>
  <si>
    <t>2020/ICT/23</t>
  </si>
  <si>
    <t>Mr. Naveen P.R.</t>
  </si>
  <si>
    <t>2020/ICT/24</t>
  </si>
  <si>
    <t>Mr. Egodawitharana E.W.A.P</t>
  </si>
  <si>
    <t>2020/ICT/25</t>
  </si>
  <si>
    <t>Mr. Neththasingha N.A.R.H.</t>
  </si>
  <si>
    <t>2020/ICT/26</t>
  </si>
  <si>
    <t>Ms. Kajaliny M.</t>
  </si>
  <si>
    <t>2020/ICT/27</t>
  </si>
  <si>
    <t>Ms. Sujani. P.</t>
  </si>
  <si>
    <t>2020/ICT/29</t>
  </si>
  <si>
    <t>Mr. Wijesuriya LLWND</t>
  </si>
  <si>
    <t>2020/ICT/30</t>
  </si>
  <si>
    <t>Mr. Perera K.T.K.</t>
  </si>
  <si>
    <t>2020/ICT/31</t>
  </si>
  <si>
    <t>Ms. Tharanga K.A.R.</t>
  </si>
  <si>
    <t>2020/ICT/32</t>
  </si>
  <si>
    <t>Mr. Kalhara K.A.T.</t>
  </si>
  <si>
    <t>2020/ICT/33</t>
  </si>
  <si>
    <t>Mr. Rajapaksha R.G.B.K.C.</t>
  </si>
  <si>
    <t>2020/ICT/34</t>
  </si>
  <si>
    <t>Mr. Fernando D.P.B.</t>
  </si>
  <si>
    <t>2020/ICT/35</t>
  </si>
  <si>
    <t>Mr. Dissanayaka D.M.L.Y.</t>
  </si>
  <si>
    <t>2020/ICT/36</t>
  </si>
  <si>
    <t>Ms. Dhanapala D.M.C.S.</t>
  </si>
  <si>
    <t>2020/ICT/37</t>
  </si>
  <si>
    <t>Ms. Kulathunga J.M.C.B.</t>
  </si>
  <si>
    <t>2020/ICT/38</t>
  </si>
  <si>
    <t>Mr.Bandara JMMM</t>
  </si>
  <si>
    <t>2020/ICT/39</t>
  </si>
  <si>
    <t>Mr. Kariyawasam K.W.I.N.</t>
  </si>
  <si>
    <t>2020/ICT/40</t>
  </si>
  <si>
    <t>Ms. Madhumali L.P.I.</t>
  </si>
  <si>
    <t>2020/ICT/41</t>
  </si>
  <si>
    <t>Mr. Rathnakumara G.R.P.N.</t>
  </si>
  <si>
    <t>2020/ICT/42</t>
  </si>
  <si>
    <t>Ms. Senarathne R.D.D.A.</t>
  </si>
  <si>
    <t>2020/ICT/43</t>
  </si>
  <si>
    <t>Mr. Mayurajith P.M.M.</t>
  </si>
  <si>
    <t>2020/ICT/44</t>
  </si>
  <si>
    <t>Ms. Lakmini L.A.M.</t>
  </si>
  <si>
    <t>2020/ICT/47</t>
  </si>
  <si>
    <t>Ms. Rathnayake R.M.S.</t>
  </si>
  <si>
    <t>2020/ICT/48</t>
  </si>
  <si>
    <t>Ms. Ilma A.I.F.</t>
  </si>
  <si>
    <t>2020/ICT/49</t>
  </si>
  <si>
    <t>Mr. Bandara R.M.M.T.</t>
  </si>
  <si>
    <t>2020/ICT/50</t>
  </si>
  <si>
    <t>Ms. Lanojika T.</t>
  </si>
  <si>
    <t>2020/ICT/51</t>
  </si>
  <si>
    <t>Mr. Liyanage G.L.S.K.</t>
  </si>
  <si>
    <t>2020/ICT/52</t>
  </si>
  <si>
    <t>Mr. Athukorala W.A.D.G.H.</t>
  </si>
  <si>
    <t>2020/ICT/53</t>
  </si>
  <si>
    <t>Ms. Sushmitha C.V.</t>
  </si>
  <si>
    <t>2020/ICT/54</t>
  </si>
  <si>
    <t>Ms. Epa V.D.S.N.</t>
  </si>
  <si>
    <t>2020/ICT/56</t>
  </si>
  <si>
    <t>Ms. Wijesinghe W.A.K.P.</t>
  </si>
  <si>
    <t>2020/ICT/57</t>
  </si>
  <si>
    <t>Ms. Hettiarachchi C.H.</t>
  </si>
  <si>
    <t>2020/ICT/58</t>
  </si>
  <si>
    <t>Mr. Nazik S.H.M.</t>
  </si>
  <si>
    <t>2020/ICT/59</t>
  </si>
  <si>
    <t>Mr. Harson V.</t>
  </si>
  <si>
    <t>2020/ICT/62</t>
  </si>
  <si>
    <t>Ms. Sumaiya S.F.</t>
  </si>
  <si>
    <t>2020/ICT/63</t>
  </si>
  <si>
    <t>Mr. Logambigan T.</t>
  </si>
  <si>
    <t>2020/ICT/64</t>
  </si>
  <si>
    <t>Ms.Ilma M.I.F.</t>
  </si>
  <si>
    <t>2020/ICT/65</t>
  </si>
  <si>
    <t>Ms. Indrejith S.A.C.S.</t>
  </si>
  <si>
    <t>2020/ICT/67</t>
  </si>
  <si>
    <t>Mr. Malarathna S.P</t>
  </si>
  <si>
    <t>2020/ICT/68</t>
  </si>
  <si>
    <t>Mr. Samarasinghe S.W.S.J.</t>
  </si>
  <si>
    <t>2020/ICT/69</t>
  </si>
  <si>
    <t>Ms. Chandrasekara C.G.H.P.L.</t>
  </si>
  <si>
    <t>2020/ICT/70</t>
  </si>
  <si>
    <t>Ms. Venuka S.</t>
  </si>
  <si>
    <t>2020/ICT/71</t>
  </si>
  <si>
    <t>Ms. Kasna K.K.F.</t>
  </si>
  <si>
    <t>2020/ICT/73</t>
  </si>
  <si>
    <t>Mr. Kumara K.V.L.</t>
  </si>
  <si>
    <t>2020/ICT/74</t>
  </si>
  <si>
    <t>Ms. Afthaff J.F.T.</t>
  </si>
  <si>
    <t>2020/ICT/75</t>
  </si>
  <si>
    <t>Ms. Yeenas M.I.H.</t>
  </si>
  <si>
    <t>2020/ICT/76</t>
  </si>
  <si>
    <t>Mr. Tharmeekan S.</t>
  </si>
  <si>
    <t>2020/ICT/77</t>
  </si>
  <si>
    <t>Ms. Nifra A.H.F.</t>
  </si>
  <si>
    <t>2020/ICT/79</t>
  </si>
  <si>
    <t>Mr. Midun S.</t>
  </si>
  <si>
    <t>2020/ICT/80</t>
  </si>
  <si>
    <t>Ms. Insafa K.R.</t>
  </si>
  <si>
    <t>2020/ICT/81</t>
  </si>
  <si>
    <t>Ms. Shakeeka S.F.</t>
  </si>
  <si>
    <t>2020/ICT/82</t>
  </si>
  <si>
    <t>Ms. Ruzla M.j.</t>
  </si>
  <si>
    <t>2020/ICT/83</t>
  </si>
  <si>
    <t>Ms. Lakshna G.</t>
  </si>
  <si>
    <t>2020/ICT/85</t>
  </si>
  <si>
    <t>Ms. Gunarathna P.M.D.P.R.P.</t>
  </si>
  <si>
    <t>2020/ICT/86</t>
  </si>
  <si>
    <t>Ms. Niwandana N.P.K.M.</t>
  </si>
  <si>
    <t>2020/ICT/87</t>
  </si>
  <si>
    <t>Ms. Jayasundara J.M.G.R.</t>
  </si>
  <si>
    <t>2020/ICT/88</t>
  </si>
  <si>
    <t>Ms. Perera KNR</t>
  </si>
  <si>
    <t>2020/ICT/90</t>
  </si>
  <si>
    <t>Ms. Madhushani K.M.I.I</t>
  </si>
  <si>
    <t>2020/ICT/91</t>
  </si>
  <si>
    <t>Ms. Perera H.D.S.</t>
  </si>
  <si>
    <t>2020/ICT/92</t>
  </si>
  <si>
    <t>Mr. Kulathunga M.A.S.S.</t>
  </si>
  <si>
    <t>2020/ICT/93</t>
  </si>
  <si>
    <t>Mr. Jayathunga R.P.</t>
  </si>
  <si>
    <t>2020/ICT/94</t>
  </si>
  <si>
    <t>Ms. Wanninayake P.S.</t>
  </si>
  <si>
    <t>2020/ICT/95</t>
  </si>
  <si>
    <t>Ms. Liyanaarachchi W.L.A.D.</t>
  </si>
  <si>
    <t>2020/ICT/96</t>
  </si>
  <si>
    <t>Ms Dharmapriya K.S.A.</t>
  </si>
  <si>
    <t>2020/ICT/97</t>
  </si>
  <si>
    <t>Mr. Ponnamperuma N.P.</t>
  </si>
  <si>
    <t>2020/ICT/98</t>
  </si>
  <si>
    <t>Ms. Basnayaka B.M.K.G.</t>
  </si>
  <si>
    <t>2020/ICT/99</t>
  </si>
  <si>
    <t>Mr. P. R. Hettiarachchi</t>
  </si>
  <si>
    <t>2020/ICT/100</t>
  </si>
  <si>
    <t>Ms. T. Abilajini</t>
  </si>
  <si>
    <t>2020/ICT/101</t>
  </si>
  <si>
    <t>Mr. A. R. Wijesuriya</t>
  </si>
  <si>
    <t>2020/ICT/102</t>
  </si>
  <si>
    <t>Mr. M. U. S. Ahamed</t>
  </si>
  <si>
    <t>2020/ICT/103</t>
  </si>
  <si>
    <t>Ms. R. M. H. M. Ranasinghe</t>
  </si>
  <si>
    <t>2020/ICT/104</t>
  </si>
  <si>
    <t>Mr. G. G. R. D. Wijerathna</t>
  </si>
  <si>
    <t>2020/ICT/105</t>
  </si>
  <si>
    <t>Mr. R. H. A. S. R. Ranasinghe</t>
  </si>
  <si>
    <t>2020/ICT/106</t>
  </si>
  <si>
    <t>Ms. M.N.Imalsha Fernando</t>
  </si>
  <si>
    <t>2020/ICT/107</t>
  </si>
  <si>
    <t>Mr. D. M. T. L. Dissanayaka</t>
  </si>
  <si>
    <t>2020/ICT/108</t>
  </si>
  <si>
    <t>Mr. J. A. M. P. Jayasinha</t>
  </si>
  <si>
    <t>2020/ICT/109</t>
  </si>
  <si>
    <t>Ms. A. T. M. Gunasekara</t>
  </si>
  <si>
    <t>2020/ICT/110</t>
  </si>
  <si>
    <t>Mr. M. M. M. Musni</t>
  </si>
  <si>
    <t>2020/ICT/111</t>
  </si>
  <si>
    <t>Ms. M. P. Sandulmini</t>
  </si>
  <si>
    <t>2020/ICT/112</t>
  </si>
  <si>
    <t>Ms. Tharushi Munasinghe</t>
  </si>
  <si>
    <t>2020/ICT/113</t>
  </si>
  <si>
    <t>Mr.R.A.D.A.Ranasinghe</t>
  </si>
  <si>
    <t>2020/ICT/114</t>
  </si>
  <si>
    <t>Ms.W.M.P.S.Wijekoon</t>
  </si>
  <si>
    <t>2020/ICT/115</t>
  </si>
  <si>
    <t>Ms.W.G.M.S.Indrarathna</t>
  </si>
  <si>
    <t>2020/ICT/116</t>
  </si>
  <si>
    <t>Mr.C.O.Vithana</t>
  </si>
  <si>
    <t>2020/ICT/117</t>
  </si>
  <si>
    <t>Ms.S.D.Rajapaksha</t>
  </si>
  <si>
    <t>2020/ICT/118</t>
  </si>
  <si>
    <t>Ms.M.T.F.Shazna</t>
  </si>
  <si>
    <t>2020/ICT/119</t>
  </si>
  <si>
    <t>Mr. Zahran L. M</t>
  </si>
  <si>
    <t>2020/ICT/120</t>
  </si>
  <si>
    <t>Ms.Thavarajah H</t>
  </si>
  <si>
    <t>IT1134</t>
  </si>
  <si>
    <t>IT1144</t>
  </si>
  <si>
    <t>IT1113</t>
  </si>
  <si>
    <t>IT1122</t>
  </si>
  <si>
    <t>IT1152</t>
  </si>
  <si>
    <t>GPA</t>
  </si>
  <si>
    <t>B+</t>
  </si>
  <si>
    <t>A-</t>
  </si>
  <si>
    <t>B</t>
  </si>
  <si>
    <t>B-</t>
  </si>
  <si>
    <t>C-</t>
  </si>
  <si>
    <t>absent</t>
  </si>
  <si>
    <t>A</t>
  </si>
  <si>
    <t>A+</t>
  </si>
  <si>
    <t>C+</t>
  </si>
  <si>
    <t>C</t>
  </si>
  <si>
    <t>Mr. ]eewantha I.M.C.</t>
  </si>
  <si>
    <t>IT1214</t>
  </si>
  <si>
    <t>IT1223</t>
  </si>
  <si>
    <t>IT1232</t>
  </si>
  <si>
    <t>IT1242</t>
  </si>
  <si>
    <t>IT1252</t>
  </si>
  <si>
    <t>IT1262</t>
  </si>
  <si>
    <t>D</t>
  </si>
  <si>
    <t>E</t>
  </si>
  <si>
    <t>IT2114</t>
  </si>
  <si>
    <t>IT2133</t>
  </si>
  <si>
    <t>IT2153</t>
  </si>
  <si>
    <t>IT2143</t>
  </si>
  <si>
    <t>IT2122</t>
  </si>
  <si>
    <t xml:space="preserve">C
</t>
  </si>
  <si>
    <t>c+</t>
  </si>
  <si>
    <t>Ms. Indreiith S.A.C.S.</t>
  </si>
  <si>
    <t>IT2244</t>
  </si>
  <si>
    <t>IT2234</t>
  </si>
  <si>
    <t>IT2223</t>
  </si>
  <si>
    <t>IT2212</t>
  </si>
  <si>
    <t>IT2252</t>
  </si>
  <si>
    <t>D+</t>
  </si>
  <si>
    <t xml:space="preserve"> B+</t>
  </si>
  <si>
    <t>IT3113</t>
  </si>
  <si>
    <t>IT3133</t>
  </si>
  <si>
    <t>IT3143</t>
  </si>
  <si>
    <t>IT3122</t>
  </si>
  <si>
    <t>IT3152</t>
  </si>
  <si>
    <t>IT3162</t>
  </si>
  <si>
    <t>Mr. Ahamed M.I.A.</t>
  </si>
  <si>
    <t>IT3213</t>
  </si>
  <si>
    <t>IT3223</t>
  </si>
  <si>
    <t>IT3243</t>
  </si>
  <si>
    <t>IT3232</t>
  </si>
  <si>
    <t>IT3252</t>
  </si>
  <si>
    <t>IT3262</t>
  </si>
  <si>
    <t>Ms. Ruzla M.J.</t>
  </si>
  <si>
    <t>Index No</t>
  </si>
  <si>
    <t>IT 4113
Comp. Org. &amp;
Architecture</t>
  </si>
  <si>
    <t>IT 4123
Agent Based
Computing</t>
  </si>
  <si>
    <t>IT 4133
Bioinformatics
&amp; Comp. Bio</t>
  </si>
  <si>
    <t>IT 4142
Compiler
Design</t>
  </si>
  <si>
    <t>IT 4153
Adv. Computer
Networks</t>
  </si>
  <si>
    <t>EL 4122
Data
Science</t>
  </si>
  <si>
    <t>EL 4132
GIS &amp; Remote
Sensing</t>
  </si>
  <si>
    <t>EL 4142
Graph
Theory</t>
  </si>
  <si>
    <t>EL 4152
Machine
Learning</t>
  </si>
  <si>
    <t>EL 4162
Numerical
Computing</t>
  </si>
  <si>
    <t>EL 4192
Software Defined
Networking</t>
  </si>
  <si>
    <t>IT16003</t>
  </si>
  <si>
    <t>IT16005</t>
  </si>
  <si>
    <t>IT16006</t>
  </si>
  <si>
    <t>IT16010</t>
  </si>
  <si>
    <t>IT16012</t>
  </si>
  <si>
    <t>IT16013</t>
  </si>
  <si>
    <t>IT16014</t>
  </si>
  <si>
    <t>IT16016</t>
  </si>
  <si>
    <t>IT16017</t>
  </si>
  <si>
    <t>IT16019</t>
  </si>
  <si>
    <t>IT16020</t>
  </si>
  <si>
    <t>IT16027</t>
  </si>
  <si>
    <t>IT16028</t>
  </si>
  <si>
    <t>IT16029</t>
  </si>
  <si>
    <t>IT16032</t>
  </si>
  <si>
    <t>IT16034</t>
  </si>
  <si>
    <t>IT16036</t>
  </si>
  <si>
    <t>IT16038</t>
  </si>
  <si>
    <t>IT16039</t>
  </si>
  <si>
    <t>IT16040</t>
  </si>
  <si>
    <t>IT16041</t>
  </si>
  <si>
    <t>IT16042</t>
  </si>
  <si>
    <t>IT16043</t>
  </si>
  <si>
    <t>IT16044</t>
  </si>
  <si>
    <t>IT16045</t>
  </si>
  <si>
    <t>IT16047</t>
  </si>
  <si>
    <t>IT16049</t>
  </si>
  <si>
    <t>IT16051</t>
  </si>
  <si>
    <t>IT16052</t>
  </si>
  <si>
    <t>IT16053</t>
  </si>
  <si>
    <t>IT16054</t>
  </si>
  <si>
    <t>IT16057</t>
  </si>
  <si>
    <t>IT16058</t>
  </si>
  <si>
    <t>IT16059</t>
  </si>
  <si>
    <t>IT16065</t>
  </si>
  <si>
    <t>IT16074</t>
  </si>
  <si>
    <t>IT16077</t>
  </si>
  <si>
    <t>IT16082</t>
  </si>
  <si>
    <t>IT16083</t>
  </si>
  <si>
    <t>IT16084</t>
  </si>
  <si>
    <t>IT16086</t>
  </si>
  <si>
    <t>IT16087</t>
  </si>
  <si>
    <t>IT16088</t>
  </si>
  <si>
    <t>IT16089</t>
  </si>
  <si>
    <t>IT16096</t>
  </si>
  <si>
    <t>IT16098</t>
  </si>
  <si>
    <t>IT16099</t>
  </si>
  <si>
    <t>IT16101</t>
  </si>
  <si>
    <t>IT16104</t>
  </si>
  <si>
    <t>IT16108</t>
  </si>
  <si>
    <t>IT16110</t>
  </si>
  <si>
    <t>IT4216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</si>
</sst>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1F3864"/>
      <name val="Arial"/>
    </font>
    <font>
      <b/>
      <sz val="10"/>
      <color rgb="FF276221"/>
      <name val="Arial"/>
    </font>
    <font>
      <sz val="11"/>
      <color theme="1"/>
      <name val="Calibri"/>
      <family val="2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Calibri"/>
    </font>
    <font>
      <sz val="11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70AD47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theme="4"/>
      </patternFill>
    </fill>
    <fill>
      <patternFill patternType="solid">
        <fgColor rgb="FFF2F7FC"/>
        <bgColor rgb="FFF2F7FC"/>
      </patternFill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/>
      <diagonal/>
    </border>
  </borders>
  <cellStyleXfs count="2">
    <xf numFmtId="0" fontId="0" fillId="0" borderId="6"/>
    <xf numFmtId="0" fontId="12" fillId="11" borderId="6"/>
  </cellStyleXfs>
  <cellXfs count="31">
    <xf numFmtId="0" fontId="0" fillId="0" borderId="0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2" fontId="9" fillId="8" borderId="4" xfId="0" applyNumberFormat="1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2" fontId="10" fillId="2" borderId="4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11" borderId="0" xfId="1" applyBorder="1" applyAlignment="1">
      <alignment horizontal="center"/>
    </xf>
    <xf numFmtId="0" fontId="13" fillId="12" borderId="5" xfId="0" applyFont="1" applyFill="1" applyBorder="1" applyAlignment="1">
      <alignment horizontal="center" vertical="center"/>
    </xf>
    <xf numFmtId="0" fontId="13" fillId="13" borderId="5" xfId="0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 wrapText="1"/>
    </xf>
    <xf numFmtId="0" fontId="15" fillId="0" borderId="2" xfId="0" applyFont="1" applyBorder="1"/>
    <xf numFmtId="0" fontId="15" fillId="0" borderId="2" xfId="0" applyFont="1" applyBorder="1" applyAlignment="1">
      <alignment wrapText="1"/>
    </xf>
    <xf numFmtId="164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6.28515625" customWidth="1"/>
    <col min="2" max="2" width="30.5703125" customWidth="1"/>
    <col min="3" max="7" width="8" customWidth="1"/>
    <col min="8" max="8" width="15.140625" customWidth="1"/>
    <col min="9" max="26" width="8" customWidth="1"/>
  </cols>
  <sheetData>
    <row r="1" spans="1:8" x14ac:dyDescent="0.25">
      <c r="A1" s="1" t="s">
        <v>0</v>
      </c>
      <c r="B1" s="2" t="s">
        <v>1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</row>
    <row r="2" spans="1:8" x14ac:dyDescent="0.25">
      <c r="A2" s="3" t="s">
        <v>15</v>
      </c>
      <c r="B2" s="4" t="s">
        <v>16</v>
      </c>
      <c r="C2" s="5" t="s">
        <v>235</v>
      </c>
      <c r="D2" s="5" t="s">
        <v>235</v>
      </c>
      <c r="E2" s="5" t="s">
        <v>236</v>
      </c>
      <c r="F2" s="5" t="s">
        <v>237</v>
      </c>
      <c r="G2" s="5" t="s">
        <v>238</v>
      </c>
      <c r="H2" s="4">
        <f>IFERROR(
    ROUND(
        (
            (IF(C2="A+", 4, IF(C2="A", 4, IF(C2="A-", 3.7, IF(C2="B+", 3.3, IF(C2="B", 3, IF(C2="B-", 2.7, IF(C2="C+", 2.3, IF(C2="C", 2, IF(C2="C-", 1.7, IF(C2="D+", 1.3, IF(C2="D", 1, IF(C2="E", 0, 0)))))))))))) * 4) +
            (IF(D2="A+", 4, IF(D2="A", 4, IF(D2="A-", 3.7, IF(D2="B+", 3.3, IF(D2="B", 3, IF(D2="B-", 2.7, IF(D2="C+", 2.3, IF(D2="C", 2, IF(D2="C-", 1.7, IF(D2="D+", 1.3, IF(D2="D", 1, IF(D2="E", 0, 0)))))))))))) * 4) +
            (IF(E2="A+", 4, IF(E2="A", 4, IF(E2="A-", 3.7, IF(E2="B+", 3.3, IF(E2="B", 3, IF(E2="B-", 2.7, IF(E2="C+", 2.3, IF(E2="C", 2, IF(E2="C-", 1.7, IF(E2="D+", 1.3, IF(E2="D", 1, IF(E2="E", 0, 0)))))))))))) * 3) +
            (IF(F2="A+", 4, IF(F2="A", 4, IF(F2="A-", 3.7, IF(F2="B+", 3.3, IF(F2="B", 3, IF(F2="B-", 2.7, IF(F2="C+", 2.3, IF(F2="C", 2, IF(F2="C-", 1.7, IF(F2="D+", 1.3, IF(F2="D", 1, IF(F2="E", 0, 0)))))))))))) * 2) +
            (IF(G2="A+", 4, IF(G2="A", 4, IF(G2="A-", 3.7, IF(G2="B+", 3.3, IF(G2="B", 3, IF(G2="B-", 2.7, IF(G2="C+", 2.3, IF(G2="C", 2, IF(G2="C-", 1.7, IF(G2="D+", 1.3, IF(G2="D", 1, IF(G2="E", 0, 0)))))))))))) * 2)
        ) / (4 + 4 + 3 + 2 + 2),
    2),
0)</f>
        <v>3.26</v>
      </c>
    </row>
    <row r="3" spans="1:8" x14ac:dyDescent="0.25">
      <c r="A3" s="3" t="s">
        <v>17</v>
      </c>
      <c r="B3" s="4" t="s">
        <v>18</v>
      </c>
      <c r="C3" s="5" t="s">
        <v>239</v>
      </c>
      <c r="D3" s="5" t="s">
        <v>237</v>
      </c>
      <c r="E3" s="5" t="s">
        <v>237</v>
      </c>
      <c r="F3" s="5" t="s">
        <v>239</v>
      </c>
      <c r="G3" s="5" t="s">
        <v>240</v>
      </c>
      <c r="H3" s="4">
        <f t="shared" ref="H3:H34" si="0">IFERROR(
ROUND(
(
(IF(C3="A+", 4, IF(C3="A", 4, IF(C3="A-", 3.7, IF(C3="B+", 3.3, IF(C3="B", 3, IF(C3="B-", 2.7, IF(C3="C+", 2.3, IF(C3="C", 2, IF(C3="C-", 1.7, IF(C3="D+", 1.3, IF(C3="D", 1, IF(C3="E", 0, 0)))))))))))) * 4) +
(IF(D3="A+", 4, IF(D3="A", 4, IF(D3="A-", 3.7, IF(D3="B+", 3.3, IF(D3="B", 3, IF(D3="B-", 2.7, IF(D3="C+", 2.3, IF(D3="C", 2, IF(D3="C-", 1.7, IF(D3="D+", 1.3, IF(D3="D", 1, IF(D3="E", 0, 0)))))))))))) * 4) +
(IF(E3="A+", 4, IF(E3="A", 4, IF(E3="A-", 3.7, IF(E3="B+", 3.3, IF(E3="B", 3, IF(E3="B-", 2.7, IF(E3="C+", 2.3, IF(E3="C", 2, IF(E3="C-", 1.7, IF(E3="D+", 1.3, IF(E3="D", 1, IF(E3="E", 0, 0)))))))))))) * 3) +
(IF(F3="A+", 4, IF(F3="A", 4, IF(F3="A-", 3.7, IF(F3="B+", 3.3, IF(F3="B", 3, IF(F3="B-", 2.7, IF(F3="C+", 2.3, IF(F3="C", 2, IF(F3="C-", 1.7, IF(F3="D+", 1.3, IF(F3="D", 1, IF(F3="E", 0, 0)))))))))))) * 2) +
(IF(G3="A+", 4, IF(G3="A", 4, IF(G3="A-", 3.7, IF(G3="B+", 3.3, IF(G3="B", 3, IF(G3="B-", 2.7, IF(G3="C+", 2.3, IF(G3="C", 2, IF(G3="C-", 1.7, IF(G3="D+", 1.3, IF(G3="D", 1, IF(G3="E", 0, 0)))))))))))) * 2)
) / (4 + 4 + 3 + 2 + 2),
2),
0)</f>
        <v>2.08</v>
      </c>
    </row>
    <row r="4" spans="1:8" x14ac:dyDescent="0.25">
      <c r="A4" s="3" t="s">
        <v>19</v>
      </c>
      <c r="B4" s="4" t="s">
        <v>20</v>
      </c>
      <c r="C4" s="5" t="s">
        <v>235</v>
      </c>
      <c r="D4" s="5" t="s">
        <v>236</v>
      </c>
      <c r="E4" s="5" t="s">
        <v>235</v>
      </c>
      <c r="F4" s="5" t="s">
        <v>241</v>
      </c>
      <c r="G4" s="5" t="s">
        <v>236</v>
      </c>
      <c r="H4" s="4">
        <f t="shared" si="0"/>
        <v>3.55</v>
      </c>
    </row>
    <row r="5" spans="1:8" x14ac:dyDescent="0.25">
      <c r="A5" s="3" t="s">
        <v>21</v>
      </c>
      <c r="B5" s="4" t="s">
        <v>22</v>
      </c>
      <c r="C5" s="5" t="s">
        <v>235</v>
      </c>
      <c r="D5" s="5" t="s">
        <v>242</v>
      </c>
      <c r="E5" s="5" t="s">
        <v>236</v>
      </c>
      <c r="F5" s="5" t="s">
        <v>237</v>
      </c>
      <c r="G5" s="5" t="s">
        <v>239</v>
      </c>
      <c r="H5" s="4">
        <f t="shared" si="0"/>
        <v>3.31</v>
      </c>
    </row>
    <row r="6" spans="1:8" x14ac:dyDescent="0.25">
      <c r="A6" s="3" t="s">
        <v>23</v>
      </c>
      <c r="B6" s="4" t="s">
        <v>24</v>
      </c>
      <c r="C6" s="5" t="s">
        <v>242</v>
      </c>
      <c r="D6" s="5" t="s">
        <v>242</v>
      </c>
      <c r="E6" s="5" t="s">
        <v>241</v>
      </c>
      <c r="F6" s="5" t="s">
        <v>242</v>
      </c>
      <c r="G6" s="5" t="s">
        <v>242</v>
      </c>
      <c r="H6" s="4">
        <f t="shared" si="0"/>
        <v>4</v>
      </c>
    </row>
    <row r="7" spans="1:8" x14ac:dyDescent="0.25">
      <c r="A7" s="3" t="s">
        <v>25</v>
      </c>
      <c r="B7" s="4" t="s">
        <v>26</v>
      </c>
      <c r="C7" s="5" t="s">
        <v>241</v>
      </c>
      <c r="D7" s="5" t="s">
        <v>242</v>
      </c>
      <c r="E7" s="5" t="s">
        <v>241</v>
      </c>
      <c r="F7" s="5" t="s">
        <v>242</v>
      </c>
      <c r="G7" s="5" t="s">
        <v>242</v>
      </c>
      <c r="H7" s="4">
        <f t="shared" si="0"/>
        <v>4</v>
      </c>
    </row>
    <row r="8" spans="1:8" x14ac:dyDescent="0.25">
      <c r="A8" s="3" t="s">
        <v>27</v>
      </c>
      <c r="B8" s="4" t="s">
        <v>28</v>
      </c>
      <c r="C8" s="5" t="s">
        <v>243</v>
      </c>
      <c r="D8" s="5" t="s">
        <v>236</v>
      </c>
      <c r="E8" s="5" t="s">
        <v>237</v>
      </c>
      <c r="F8" s="5" t="s">
        <v>235</v>
      </c>
      <c r="G8" s="5" t="s">
        <v>237</v>
      </c>
      <c r="H8" s="4">
        <f t="shared" si="0"/>
        <v>3.04</v>
      </c>
    </row>
    <row r="9" spans="1:8" x14ac:dyDescent="0.25">
      <c r="A9" s="3" t="s">
        <v>29</v>
      </c>
      <c r="B9" s="4" t="s">
        <v>30</v>
      </c>
      <c r="C9" s="5" t="s">
        <v>244</v>
      </c>
      <c r="D9" s="5" t="s">
        <v>237</v>
      </c>
      <c r="E9" s="5" t="s">
        <v>235</v>
      </c>
      <c r="F9" s="5" t="s">
        <v>243</v>
      </c>
      <c r="G9" s="5" t="s">
        <v>239</v>
      </c>
      <c r="H9" s="4">
        <f t="shared" si="0"/>
        <v>2.5299999999999998</v>
      </c>
    </row>
    <row r="10" spans="1:8" x14ac:dyDescent="0.25">
      <c r="A10" s="3" t="s">
        <v>31</v>
      </c>
      <c r="B10" s="4" t="s">
        <v>32</v>
      </c>
      <c r="C10" s="5" t="s">
        <v>235</v>
      </c>
      <c r="D10" s="5" t="s">
        <v>242</v>
      </c>
      <c r="E10" s="5" t="s">
        <v>242</v>
      </c>
      <c r="F10" s="5" t="s">
        <v>236</v>
      </c>
      <c r="G10" s="5" t="s">
        <v>242</v>
      </c>
      <c r="H10" s="4">
        <f t="shared" si="0"/>
        <v>3.77</v>
      </c>
    </row>
    <row r="11" spans="1:8" x14ac:dyDescent="0.25">
      <c r="A11" s="3" t="s">
        <v>33</v>
      </c>
      <c r="B11" s="4" t="s">
        <v>34</v>
      </c>
      <c r="C11" s="5" t="s">
        <v>236</v>
      </c>
      <c r="D11" s="5" t="s">
        <v>241</v>
      </c>
      <c r="E11" s="5" t="s">
        <v>235</v>
      </c>
      <c r="F11" s="5" t="s">
        <v>235</v>
      </c>
      <c r="G11" s="5" t="s">
        <v>241</v>
      </c>
      <c r="H11" s="4">
        <f t="shared" si="0"/>
        <v>3.69</v>
      </c>
    </row>
    <row r="12" spans="1:8" x14ac:dyDescent="0.25">
      <c r="A12" s="3" t="s">
        <v>35</v>
      </c>
      <c r="B12" s="4" t="s">
        <v>36</v>
      </c>
      <c r="C12" s="5" t="s">
        <v>237</v>
      </c>
      <c r="D12" s="5" t="s">
        <v>241</v>
      </c>
      <c r="E12" s="5" t="s">
        <v>241</v>
      </c>
      <c r="F12" s="5" t="s">
        <v>236</v>
      </c>
      <c r="G12" s="5" t="s">
        <v>242</v>
      </c>
      <c r="H12" s="4">
        <f t="shared" si="0"/>
        <v>3.69</v>
      </c>
    </row>
    <row r="13" spans="1:8" x14ac:dyDescent="0.25">
      <c r="A13" s="3" t="s">
        <v>37</v>
      </c>
      <c r="B13" s="4" t="s">
        <v>38</v>
      </c>
      <c r="C13" s="5" t="s">
        <v>235</v>
      </c>
      <c r="D13" s="5" t="s">
        <v>236</v>
      </c>
      <c r="E13" s="5" t="s">
        <v>241</v>
      </c>
      <c r="F13" s="5" t="s">
        <v>235</v>
      </c>
      <c r="G13" s="5" t="s">
        <v>242</v>
      </c>
      <c r="H13" s="4">
        <f t="shared" si="0"/>
        <v>3.64</v>
      </c>
    </row>
    <row r="14" spans="1:8" x14ac:dyDescent="0.25">
      <c r="A14" s="3" t="s">
        <v>39</v>
      </c>
      <c r="B14" s="4" t="s">
        <v>40</v>
      </c>
      <c r="C14" s="5" t="s">
        <v>238</v>
      </c>
      <c r="D14" s="5" t="s">
        <v>236</v>
      </c>
      <c r="E14" s="5" t="s">
        <v>235</v>
      </c>
      <c r="F14" s="5" t="s">
        <v>236</v>
      </c>
      <c r="G14" s="5" t="s">
        <v>238</v>
      </c>
      <c r="H14" s="4">
        <f t="shared" si="0"/>
        <v>3.22</v>
      </c>
    </row>
    <row r="15" spans="1:8" x14ac:dyDescent="0.25">
      <c r="A15" s="3" t="s">
        <v>41</v>
      </c>
      <c r="B15" s="4" t="s">
        <v>42</v>
      </c>
      <c r="C15" s="5" t="s">
        <v>236</v>
      </c>
      <c r="D15" s="5" t="s">
        <v>241</v>
      </c>
      <c r="E15" s="5" t="s">
        <v>241</v>
      </c>
      <c r="F15" s="5" t="s">
        <v>238</v>
      </c>
      <c r="G15" s="5" t="s">
        <v>239</v>
      </c>
      <c r="H15" s="4">
        <f t="shared" si="0"/>
        <v>3.44</v>
      </c>
    </row>
    <row r="16" spans="1:8" x14ac:dyDescent="0.25">
      <c r="A16" s="3" t="s">
        <v>43</v>
      </c>
      <c r="B16" s="4" t="s">
        <v>44</v>
      </c>
      <c r="C16" s="5" t="s">
        <v>239</v>
      </c>
      <c r="D16" s="5" t="s">
        <v>244</v>
      </c>
      <c r="E16" s="5" t="s">
        <v>238</v>
      </c>
      <c r="F16" s="5" t="s">
        <v>239</v>
      </c>
      <c r="G16" s="5" t="s">
        <v>239</v>
      </c>
      <c r="H16" s="4">
        <f t="shared" si="0"/>
        <v>1.98</v>
      </c>
    </row>
    <row r="17" spans="1:8" x14ac:dyDescent="0.25">
      <c r="A17" s="3" t="s">
        <v>45</v>
      </c>
      <c r="B17" s="4" t="s">
        <v>245</v>
      </c>
      <c r="C17" s="5" t="s">
        <v>237</v>
      </c>
      <c r="D17" s="5" t="s">
        <v>241</v>
      </c>
      <c r="E17" s="5" t="s">
        <v>236</v>
      </c>
      <c r="F17" s="5" t="s">
        <v>237</v>
      </c>
      <c r="G17" s="5" t="s">
        <v>236</v>
      </c>
      <c r="H17" s="4">
        <f t="shared" si="0"/>
        <v>3.5</v>
      </c>
    </row>
    <row r="18" spans="1:8" x14ac:dyDescent="0.25">
      <c r="A18" s="3" t="s">
        <v>47</v>
      </c>
      <c r="B18" s="4" t="s">
        <v>48</v>
      </c>
      <c r="C18" s="5" t="s">
        <v>242</v>
      </c>
      <c r="D18" s="5" t="s">
        <v>242</v>
      </c>
      <c r="E18" s="5" t="s">
        <v>242</v>
      </c>
      <c r="F18" s="5" t="s">
        <v>241</v>
      </c>
      <c r="G18" s="5" t="s">
        <v>237</v>
      </c>
      <c r="H18" s="4">
        <f t="shared" si="0"/>
        <v>3.87</v>
      </c>
    </row>
    <row r="19" spans="1:8" x14ac:dyDescent="0.25">
      <c r="A19" s="3" t="s">
        <v>49</v>
      </c>
      <c r="B19" s="4" t="s">
        <v>50</v>
      </c>
      <c r="C19" s="5" t="s">
        <v>235</v>
      </c>
      <c r="D19" s="5" t="s">
        <v>236</v>
      </c>
      <c r="E19" s="5" t="s">
        <v>236</v>
      </c>
      <c r="F19" s="5" t="s">
        <v>235</v>
      </c>
      <c r="G19" s="5" t="s">
        <v>237</v>
      </c>
      <c r="H19" s="4">
        <f t="shared" si="0"/>
        <v>3.45</v>
      </c>
    </row>
    <row r="20" spans="1:8" x14ac:dyDescent="0.25">
      <c r="A20" s="3" t="s">
        <v>51</v>
      </c>
      <c r="B20" s="4" t="s">
        <v>52</v>
      </c>
      <c r="C20" s="5" t="s">
        <v>241</v>
      </c>
      <c r="D20" s="5" t="s">
        <v>236</v>
      </c>
      <c r="E20" s="5" t="s">
        <v>241</v>
      </c>
      <c r="F20" s="5" t="s">
        <v>236</v>
      </c>
      <c r="G20" s="5" t="s">
        <v>242</v>
      </c>
      <c r="H20" s="4">
        <f t="shared" si="0"/>
        <v>3.88</v>
      </c>
    </row>
    <row r="21" spans="1:8" ht="15.75" customHeight="1" x14ac:dyDescent="0.25">
      <c r="A21" s="3" t="s">
        <v>53</v>
      </c>
      <c r="B21" s="4" t="s">
        <v>54</v>
      </c>
      <c r="C21" s="5" t="s">
        <v>235</v>
      </c>
      <c r="D21" s="5" t="s">
        <v>242</v>
      </c>
      <c r="E21" s="5" t="s">
        <v>236</v>
      </c>
      <c r="F21" s="5" t="s">
        <v>241</v>
      </c>
      <c r="G21" s="5" t="s">
        <v>241</v>
      </c>
      <c r="H21" s="4">
        <f t="shared" si="0"/>
        <v>3.75</v>
      </c>
    </row>
    <row r="22" spans="1:8" ht="15.75" customHeight="1" x14ac:dyDescent="0.25">
      <c r="A22" s="3" t="s">
        <v>55</v>
      </c>
      <c r="B22" s="4" t="s">
        <v>56</v>
      </c>
      <c r="C22" s="5" t="s">
        <v>237</v>
      </c>
      <c r="D22" s="5" t="s">
        <v>238</v>
      </c>
      <c r="E22" s="5" t="s">
        <v>238</v>
      </c>
      <c r="F22" s="5" t="s">
        <v>238</v>
      </c>
      <c r="G22" s="5" t="s">
        <v>239</v>
      </c>
      <c r="H22" s="4">
        <f t="shared" si="0"/>
        <v>2.65</v>
      </c>
    </row>
    <row r="23" spans="1:8" ht="15.75" customHeight="1" x14ac:dyDescent="0.25">
      <c r="A23" s="3" t="s">
        <v>57</v>
      </c>
      <c r="B23" s="4" t="s">
        <v>58</v>
      </c>
      <c r="C23" s="5" t="s">
        <v>238</v>
      </c>
      <c r="D23" s="5" t="s">
        <v>236</v>
      </c>
      <c r="E23" s="5" t="s">
        <v>236</v>
      </c>
      <c r="F23" s="5" t="s">
        <v>238</v>
      </c>
      <c r="G23" s="5" t="s">
        <v>236</v>
      </c>
      <c r="H23" s="4">
        <f t="shared" si="0"/>
        <v>3.3</v>
      </c>
    </row>
    <row r="24" spans="1:8" ht="15.75" customHeight="1" x14ac:dyDescent="0.25">
      <c r="A24" s="3" t="s">
        <v>59</v>
      </c>
      <c r="B24" s="4" t="s">
        <v>60</v>
      </c>
      <c r="C24" s="5" t="s">
        <v>235</v>
      </c>
      <c r="D24" s="5" t="s">
        <v>242</v>
      </c>
      <c r="E24" s="5" t="s">
        <v>241</v>
      </c>
      <c r="F24" s="5" t="s">
        <v>241</v>
      </c>
      <c r="G24" s="5" t="s">
        <v>241</v>
      </c>
      <c r="H24" s="4">
        <f t="shared" si="0"/>
        <v>3.81</v>
      </c>
    </row>
    <row r="25" spans="1:8" ht="15.75" customHeight="1" x14ac:dyDescent="0.25">
      <c r="A25" s="3" t="s">
        <v>61</v>
      </c>
      <c r="B25" s="4" t="s">
        <v>62</v>
      </c>
      <c r="C25" s="5" t="s">
        <v>238</v>
      </c>
      <c r="D25" s="5" t="s">
        <v>236</v>
      </c>
      <c r="E25" s="5" t="s">
        <v>242</v>
      </c>
      <c r="F25" s="5" t="s">
        <v>237</v>
      </c>
      <c r="G25" s="5" t="s">
        <v>235</v>
      </c>
      <c r="H25" s="4">
        <f t="shared" si="0"/>
        <v>3.35</v>
      </c>
    </row>
    <row r="26" spans="1:8" ht="15.75" customHeight="1" x14ac:dyDescent="0.25">
      <c r="A26" s="3" t="s">
        <v>63</v>
      </c>
      <c r="B26" s="4" t="s">
        <v>64</v>
      </c>
      <c r="C26" s="5" t="s">
        <v>239</v>
      </c>
      <c r="D26" s="5" t="s">
        <v>244</v>
      </c>
      <c r="E26" s="5" t="s">
        <v>243</v>
      </c>
      <c r="F26" s="5" t="s">
        <v>244</v>
      </c>
      <c r="G26" s="5" t="s">
        <v>244</v>
      </c>
      <c r="H26" s="4">
        <f t="shared" si="0"/>
        <v>1.98</v>
      </c>
    </row>
    <row r="27" spans="1:8" ht="15.75" customHeight="1" x14ac:dyDescent="0.25">
      <c r="A27" s="3" t="s">
        <v>65</v>
      </c>
      <c r="B27" s="4" t="s">
        <v>66</v>
      </c>
      <c r="C27" s="5" t="s">
        <v>241</v>
      </c>
      <c r="D27" s="5" t="s">
        <v>236</v>
      </c>
      <c r="E27" s="5" t="s">
        <v>242</v>
      </c>
      <c r="F27" s="5" t="s">
        <v>236</v>
      </c>
      <c r="G27" s="5" t="s">
        <v>235</v>
      </c>
      <c r="H27" s="4">
        <f t="shared" si="0"/>
        <v>3.79</v>
      </c>
    </row>
    <row r="28" spans="1:8" ht="15.75" customHeight="1" x14ac:dyDescent="0.25">
      <c r="A28" s="3" t="s">
        <v>67</v>
      </c>
      <c r="B28" s="4" t="s">
        <v>68</v>
      </c>
      <c r="C28" s="5" t="s">
        <v>241</v>
      </c>
      <c r="D28" s="5" t="s">
        <v>242</v>
      </c>
      <c r="E28" s="5" t="s">
        <v>242</v>
      </c>
      <c r="F28" s="5" t="s">
        <v>242</v>
      </c>
      <c r="G28" s="5" t="s">
        <v>242</v>
      </c>
      <c r="H28" s="4">
        <f t="shared" si="0"/>
        <v>4</v>
      </c>
    </row>
    <row r="29" spans="1:8" ht="15.75" customHeight="1" x14ac:dyDescent="0.25">
      <c r="A29" s="3" t="s">
        <v>69</v>
      </c>
      <c r="B29" s="4" t="s">
        <v>70</v>
      </c>
      <c r="C29" s="5" t="s">
        <v>242</v>
      </c>
      <c r="D29" s="5" t="s">
        <v>242</v>
      </c>
      <c r="E29" s="5" t="s">
        <v>242</v>
      </c>
      <c r="F29" s="5" t="s">
        <v>242</v>
      </c>
      <c r="G29" s="5" t="s">
        <v>241</v>
      </c>
      <c r="H29" s="4">
        <f t="shared" si="0"/>
        <v>4</v>
      </c>
    </row>
    <row r="30" spans="1:8" ht="15.75" customHeight="1" x14ac:dyDescent="0.25">
      <c r="A30" s="3" t="s">
        <v>71</v>
      </c>
      <c r="B30" s="4" t="s">
        <v>72</v>
      </c>
      <c r="C30" s="5" t="s">
        <v>242</v>
      </c>
      <c r="D30" s="5" t="s">
        <v>241</v>
      </c>
      <c r="E30" s="5" t="s">
        <v>242</v>
      </c>
      <c r="F30" s="5" t="s">
        <v>236</v>
      </c>
      <c r="G30" s="5" t="s">
        <v>235</v>
      </c>
      <c r="H30" s="4">
        <f t="shared" si="0"/>
        <v>3.87</v>
      </c>
    </row>
    <row r="31" spans="1:8" ht="15.75" customHeight="1" x14ac:dyDescent="0.25">
      <c r="A31" s="3" t="s">
        <v>73</v>
      </c>
      <c r="B31" s="4" t="s">
        <v>74</v>
      </c>
      <c r="C31" s="5" t="s">
        <v>244</v>
      </c>
      <c r="D31" s="5" t="s">
        <v>243</v>
      </c>
      <c r="E31" s="5" t="s">
        <v>236</v>
      </c>
      <c r="F31" s="5" t="s">
        <v>238</v>
      </c>
      <c r="G31" s="5" t="s">
        <v>239</v>
      </c>
      <c r="H31" s="4">
        <f t="shared" si="0"/>
        <v>2.4700000000000002</v>
      </c>
    </row>
    <row r="32" spans="1:8" ht="15.75" customHeight="1" x14ac:dyDescent="0.25">
      <c r="A32" s="3" t="s">
        <v>75</v>
      </c>
      <c r="B32" s="4" t="s">
        <v>76</v>
      </c>
      <c r="C32" s="5" t="s">
        <v>242</v>
      </c>
      <c r="D32" s="5" t="s">
        <v>241</v>
      </c>
      <c r="E32" s="5" t="s">
        <v>241</v>
      </c>
      <c r="F32" s="5" t="s">
        <v>235</v>
      </c>
      <c r="G32" s="5" t="s">
        <v>237</v>
      </c>
      <c r="H32" s="4">
        <f t="shared" si="0"/>
        <v>3.77</v>
      </c>
    </row>
    <row r="33" spans="1:8" ht="15.75" customHeight="1" x14ac:dyDescent="0.25">
      <c r="A33" s="3" t="s">
        <v>77</v>
      </c>
      <c r="B33" s="4" t="s">
        <v>78</v>
      </c>
      <c r="C33" s="5" t="s">
        <v>242</v>
      </c>
      <c r="D33" s="5" t="s">
        <v>242</v>
      </c>
      <c r="E33" s="5" t="s">
        <v>242</v>
      </c>
      <c r="F33" s="5" t="s">
        <v>235</v>
      </c>
      <c r="G33" s="5" t="s">
        <v>237</v>
      </c>
      <c r="H33" s="4">
        <f t="shared" si="0"/>
        <v>3.77</v>
      </c>
    </row>
    <row r="34" spans="1:8" ht="15.75" customHeight="1" x14ac:dyDescent="0.25">
      <c r="A34" s="3" t="s">
        <v>79</v>
      </c>
      <c r="B34" s="4" t="s">
        <v>80</v>
      </c>
      <c r="C34" s="5" t="s">
        <v>237</v>
      </c>
      <c r="D34" s="5" t="s">
        <v>236</v>
      </c>
      <c r="E34" s="5" t="s">
        <v>235</v>
      </c>
      <c r="F34" s="5" t="s">
        <v>236</v>
      </c>
      <c r="G34" s="5" t="s">
        <v>239</v>
      </c>
      <c r="H34" s="4">
        <f t="shared" si="0"/>
        <v>3.17</v>
      </c>
    </row>
    <row r="35" spans="1:8" ht="15.75" customHeight="1" x14ac:dyDescent="0.25">
      <c r="A35" s="3" t="s">
        <v>81</v>
      </c>
      <c r="B35" s="4" t="s">
        <v>82</v>
      </c>
      <c r="C35" s="5" t="s">
        <v>237</v>
      </c>
      <c r="D35" s="5" t="s">
        <v>235</v>
      </c>
      <c r="E35" s="5" t="s">
        <v>235</v>
      </c>
      <c r="F35" s="5" t="s">
        <v>242</v>
      </c>
      <c r="G35" s="5" t="s">
        <v>242</v>
      </c>
      <c r="H35" s="4">
        <f t="shared" ref="H35:H66" si="1">IFERROR(
ROUND(
(
(IF(C35="A+", 4, IF(C35="A", 4, IF(C35="A-", 3.7, IF(C35="B+", 3.3, IF(C35="B", 3, IF(C35="B-", 2.7, IF(C35="C+", 2.3, IF(C35="C", 2, IF(C35="C-", 1.7, IF(C35="D+", 1.3, IF(C35="D", 1, IF(C35="E", 0, 0)))))))))))) * 4) +
(IF(D35="A+", 4, IF(D35="A", 4, IF(D35="A-", 3.7, IF(D35="B+", 3.3, IF(D35="B", 3, IF(D35="B-", 2.7, IF(D35="C+", 2.3, IF(D35="C", 2, IF(D35="C-", 1.7, IF(D35="D+", 1.3, IF(D35="D", 1, IF(D35="E", 0, 0)))))))))))) * 4) +
(IF(E35="A+", 4, IF(E35="A", 4, IF(E35="A-", 3.7, IF(E35="B+", 3.3, IF(E35="B", 3, IF(E35="B-", 2.7, IF(E35="C+", 2.3, IF(E35="C", 2, IF(E35="C-", 1.7, IF(E35="D+", 1.3, IF(E35="D", 1, IF(E35="E", 0, 0)))))))))))) * 3) +
(IF(F35="A+", 4, IF(F35="A", 4, IF(F35="A-", 3.7, IF(F35="B+", 3.3, IF(F35="B", 3, IF(F35="B-", 2.7, IF(F35="C+", 2.3, IF(F35="C", 2, IF(F35="C-", 1.7, IF(F35="D+", 1.3, IF(F35="D", 1, IF(F35="E", 0, 0)))))))))))) * 2) +
(IF(G35="A+", 4, IF(G35="A", 4, IF(G35="A-", 3.7, IF(G35="B+", 3.3, IF(G35="B", 3, IF(G35="B-", 2.7, IF(G35="C+", 2.3, IF(G35="C", 2, IF(G35="C-", 1.7, IF(G35="D+", 1.3, IF(G35="D", 1, IF(G35="E", 0, 0)))))))))))) * 2)
) / (4 + 4 + 3 + 2 + 2),
2),
0)</f>
        <v>3.41</v>
      </c>
    </row>
    <row r="36" spans="1:8" ht="15.75" customHeight="1" x14ac:dyDescent="0.25">
      <c r="A36" s="3" t="s">
        <v>83</v>
      </c>
      <c r="B36" s="4" t="s">
        <v>84</v>
      </c>
      <c r="C36" s="5" t="s">
        <v>241</v>
      </c>
      <c r="D36" s="5" t="s">
        <v>236</v>
      </c>
      <c r="E36" s="5" t="s">
        <v>242</v>
      </c>
      <c r="F36" s="5" t="s">
        <v>242</v>
      </c>
      <c r="G36" s="5" t="s">
        <v>241</v>
      </c>
      <c r="H36" s="4">
        <f t="shared" si="1"/>
        <v>3.92</v>
      </c>
    </row>
    <row r="37" spans="1:8" ht="15.75" customHeight="1" x14ac:dyDescent="0.25">
      <c r="A37" s="3" t="s">
        <v>85</v>
      </c>
      <c r="B37" s="4" t="s">
        <v>86</v>
      </c>
      <c r="C37" s="5" t="s">
        <v>241</v>
      </c>
      <c r="D37" s="5" t="s">
        <v>241</v>
      </c>
      <c r="E37" s="5" t="s">
        <v>236</v>
      </c>
      <c r="F37" s="5" t="s">
        <v>242</v>
      </c>
      <c r="G37" s="5" t="s">
        <v>235</v>
      </c>
      <c r="H37" s="4">
        <f t="shared" si="1"/>
        <v>3.85</v>
      </c>
    </row>
    <row r="38" spans="1:8" ht="15.75" customHeight="1" x14ac:dyDescent="0.25">
      <c r="A38" s="3" t="s">
        <v>87</v>
      </c>
      <c r="B38" s="4" t="s">
        <v>88</v>
      </c>
      <c r="C38" s="5" t="s">
        <v>243</v>
      </c>
      <c r="D38" s="5" t="s">
        <v>238</v>
      </c>
      <c r="E38" s="5" t="s">
        <v>237</v>
      </c>
      <c r="F38" s="5" t="s">
        <v>241</v>
      </c>
      <c r="G38" s="5" t="s">
        <v>237</v>
      </c>
      <c r="H38" s="4">
        <f t="shared" si="1"/>
        <v>2.87</v>
      </c>
    </row>
    <row r="39" spans="1:8" ht="15.75" customHeight="1" x14ac:dyDescent="0.25">
      <c r="A39" s="3" t="s">
        <v>89</v>
      </c>
      <c r="B39" s="4" t="s">
        <v>90</v>
      </c>
      <c r="C39" s="5" t="s">
        <v>241</v>
      </c>
      <c r="D39" s="5" t="s">
        <v>236</v>
      </c>
      <c r="E39" s="5" t="s">
        <v>241</v>
      </c>
      <c r="F39" s="5" t="s">
        <v>238</v>
      </c>
      <c r="G39" s="5" t="s">
        <v>239</v>
      </c>
      <c r="H39" s="4">
        <f t="shared" si="1"/>
        <v>3.44</v>
      </c>
    </row>
    <row r="40" spans="1:8" ht="15.75" customHeight="1" x14ac:dyDescent="0.25">
      <c r="A40" s="3" t="s">
        <v>91</v>
      </c>
      <c r="B40" s="4" t="s">
        <v>92</v>
      </c>
      <c r="C40" s="5" t="s">
        <v>235</v>
      </c>
      <c r="D40" s="5" t="s">
        <v>242</v>
      </c>
      <c r="E40" s="5" t="s">
        <v>241</v>
      </c>
      <c r="F40" s="5" t="s">
        <v>242</v>
      </c>
      <c r="G40" s="5" t="s">
        <v>242</v>
      </c>
      <c r="H40" s="4">
        <f t="shared" si="1"/>
        <v>3.81</v>
      </c>
    </row>
    <row r="41" spans="1:8" ht="15.75" customHeight="1" x14ac:dyDescent="0.25">
      <c r="A41" s="3" t="s">
        <v>93</v>
      </c>
      <c r="B41" s="4" t="s">
        <v>94</v>
      </c>
      <c r="C41" s="5" t="s">
        <v>236</v>
      </c>
      <c r="D41" s="5" t="s">
        <v>236</v>
      </c>
      <c r="E41" s="5" t="s">
        <v>235</v>
      </c>
      <c r="F41" s="5" t="s">
        <v>238</v>
      </c>
      <c r="G41" s="5" t="s">
        <v>238</v>
      </c>
      <c r="H41" s="4">
        <f t="shared" si="1"/>
        <v>3.35</v>
      </c>
    </row>
    <row r="42" spans="1:8" ht="15.75" customHeight="1" x14ac:dyDescent="0.25">
      <c r="A42" s="3" t="s">
        <v>95</v>
      </c>
      <c r="B42" s="4" t="s">
        <v>96</v>
      </c>
      <c r="C42" s="5" t="s">
        <v>235</v>
      </c>
      <c r="D42" s="5" t="s">
        <v>241</v>
      </c>
      <c r="E42" s="5" t="s">
        <v>241</v>
      </c>
      <c r="F42" s="5" t="s">
        <v>241</v>
      </c>
      <c r="G42" s="5" t="s">
        <v>241</v>
      </c>
      <c r="H42" s="4">
        <f t="shared" si="1"/>
        <v>3.81</v>
      </c>
    </row>
    <row r="43" spans="1:8" ht="15.75" customHeight="1" x14ac:dyDescent="0.25">
      <c r="A43" s="3" t="s">
        <v>97</v>
      </c>
      <c r="B43" s="4" t="s">
        <v>98</v>
      </c>
      <c r="C43" s="5" t="s">
        <v>237</v>
      </c>
      <c r="D43" s="5" t="s">
        <v>241</v>
      </c>
      <c r="E43" s="5" t="s">
        <v>236</v>
      </c>
      <c r="F43" s="5" t="s">
        <v>242</v>
      </c>
      <c r="G43" s="5" t="s">
        <v>242</v>
      </c>
      <c r="H43" s="4">
        <f t="shared" si="1"/>
        <v>3.67</v>
      </c>
    </row>
    <row r="44" spans="1:8" ht="15.75" customHeight="1" x14ac:dyDescent="0.25">
      <c r="A44" s="3" t="s">
        <v>99</v>
      </c>
      <c r="B44" s="4" t="s">
        <v>100</v>
      </c>
      <c r="C44" s="5" t="s">
        <v>236</v>
      </c>
      <c r="D44" s="5" t="s">
        <v>242</v>
      </c>
      <c r="E44" s="5" t="s">
        <v>242</v>
      </c>
      <c r="F44" s="5" t="s">
        <v>241</v>
      </c>
      <c r="G44" s="5" t="s">
        <v>241</v>
      </c>
      <c r="H44" s="4">
        <f t="shared" si="1"/>
        <v>3.92</v>
      </c>
    </row>
    <row r="45" spans="1:8" ht="15.75" customHeight="1" x14ac:dyDescent="0.25">
      <c r="A45" s="3" t="s">
        <v>101</v>
      </c>
      <c r="B45" s="4" t="s">
        <v>102</v>
      </c>
      <c r="C45" s="5" t="s">
        <v>236</v>
      </c>
      <c r="D45" s="5" t="s">
        <v>242</v>
      </c>
      <c r="E45" s="5" t="s">
        <v>241</v>
      </c>
      <c r="F45" s="5" t="s">
        <v>237</v>
      </c>
      <c r="G45" s="5" t="s">
        <v>238</v>
      </c>
      <c r="H45" s="4">
        <f t="shared" si="1"/>
        <v>3.61</v>
      </c>
    </row>
    <row r="46" spans="1:8" ht="15.75" customHeight="1" x14ac:dyDescent="0.25">
      <c r="A46" s="3" t="s">
        <v>103</v>
      </c>
      <c r="B46" s="4" t="s">
        <v>104</v>
      </c>
      <c r="C46" s="5" t="s">
        <v>236</v>
      </c>
      <c r="D46" s="5" t="s">
        <v>241</v>
      </c>
      <c r="E46" s="5" t="s">
        <v>241</v>
      </c>
      <c r="F46" s="5" t="s">
        <v>236</v>
      </c>
      <c r="G46" s="5" t="s">
        <v>242</v>
      </c>
      <c r="H46" s="4">
        <f t="shared" si="1"/>
        <v>3.88</v>
      </c>
    </row>
    <row r="47" spans="1:8" ht="15.75" customHeight="1" x14ac:dyDescent="0.25">
      <c r="A47" s="3" t="s">
        <v>105</v>
      </c>
      <c r="B47" s="4" t="s">
        <v>106</v>
      </c>
      <c r="C47" s="5" t="s">
        <v>238</v>
      </c>
      <c r="D47" s="5" t="s">
        <v>235</v>
      </c>
      <c r="E47" s="5" t="s">
        <v>235</v>
      </c>
      <c r="F47" s="5" t="s">
        <v>243</v>
      </c>
      <c r="G47" s="5" t="s">
        <v>244</v>
      </c>
      <c r="H47" s="4">
        <f t="shared" si="1"/>
        <v>2.83</v>
      </c>
    </row>
    <row r="48" spans="1:8" ht="15.75" customHeight="1" x14ac:dyDescent="0.25">
      <c r="A48" s="3" t="s">
        <v>107</v>
      </c>
      <c r="B48" s="4" t="s">
        <v>108</v>
      </c>
      <c r="C48" s="5" t="s">
        <v>236</v>
      </c>
      <c r="D48" s="5" t="s">
        <v>236</v>
      </c>
      <c r="E48" s="5" t="s">
        <v>236</v>
      </c>
      <c r="F48" s="5" t="s">
        <v>235</v>
      </c>
      <c r="G48" s="5" t="s">
        <v>235</v>
      </c>
      <c r="H48" s="4">
        <f t="shared" si="1"/>
        <v>3.59</v>
      </c>
    </row>
    <row r="49" spans="1:8" ht="15.75" customHeight="1" x14ac:dyDescent="0.25">
      <c r="A49" s="3" t="s">
        <v>109</v>
      </c>
      <c r="B49" s="4" t="s">
        <v>110</v>
      </c>
      <c r="C49" s="5" t="s">
        <v>242</v>
      </c>
      <c r="D49" s="5" t="s">
        <v>241</v>
      </c>
      <c r="E49" s="5" t="s">
        <v>242</v>
      </c>
      <c r="F49" s="5" t="s">
        <v>242</v>
      </c>
      <c r="G49" s="5" t="s">
        <v>241</v>
      </c>
      <c r="H49" s="4">
        <f t="shared" si="1"/>
        <v>4</v>
      </c>
    </row>
    <row r="50" spans="1:8" ht="15.75" customHeight="1" x14ac:dyDescent="0.25">
      <c r="A50" s="3" t="s">
        <v>111</v>
      </c>
      <c r="B50" s="4" t="s">
        <v>112</v>
      </c>
      <c r="C50" s="5" t="s">
        <v>242</v>
      </c>
      <c r="D50" s="5" t="s">
        <v>242</v>
      </c>
      <c r="E50" s="5" t="s">
        <v>242</v>
      </c>
      <c r="F50" s="5" t="s">
        <v>241</v>
      </c>
      <c r="G50" s="5" t="s">
        <v>242</v>
      </c>
      <c r="H50" s="4">
        <f t="shared" si="1"/>
        <v>4</v>
      </c>
    </row>
    <row r="51" spans="1:8" ht="15.75" customHeight="1" x14ac:dyDescent="0.25">
      <c r="A51" s="3" t="s">
        <v>113</v>
      </c>
      <c r="B51" s="4" t="s">
        <v>114</v>
      </c>
      <c r="C51" s="5" t="s">
        <v>235</v>
      </c>
      <c r="D51" s="5" t="s">
        <v>236</v>
      </c>
      <c r="E51" s="5" t="s">
        <v>236</v>
      </c>
      <c r="F51" s="5" t="s">
        <v>242</v>
      </c>
      <c r="G51" s="5" t="s">
        <v>235</v>
      </c>
      <c r="H51" s="4">
        <f t="shared" si="1"/>
        <v>3.58</v>
      </c>
    </row>
    <row r="52" spans="1:8" ht="15.75" customHeight="1" x14ac:dyDescent="0.25">
      <c r="A52" s="3" t="s">
        <v>115</v>
      </c>
      <c r="B52" s="4" t="s">
        <v>116</v>
      </c>
      <c r="C52" s="5" t="s">
        <v>244</v>
      </c>
      <c r="D52" s="5" t="s">
        <v>235</v>
      </c>
      <c r="E52" s="5" t="s">
        <v>235</v>
      </c>
      <c r="F52" s="5" t="s">
        <v>235</v>
      </c>
      <c r="G52" s="5" t="s">
        <v>242</v>
      </c>
      <c r="H52" s="4">
        <f t="shared" si="1"/>
        <v>3.05</v>
      </c>
    </row>
    <row r="53" spans="1:8" ht="15.75" customHeight="1" x14ac:dyDescent="0.25">
      <c r="A53" s="3" t="s">
        <v>117</v>
      </c>
      <c r="B53" s="4" t="s">
        <v>118</v>
      </c>
      <c r="C53" s="5" t="s">
        <v>242</v>
      </c>
      <c r="D53" s="5" t="s">
        <v>242</v>
      </c>
      <c r="E53" s="5" t="s">
        <v>236</v>
      </c>
      <c r="F53" s="5" t="s">
        <v>235</v>
      </c>
      <c r="G53" s="5" t="s">
        <v>242</v>
      </c>
      <c r="H53" s="4">
        <f t="shared" si="1"/>
        <v>3.85</v>
      </c>
    </row>
    <row r="54" spans="1:8" ht="15.75" customHeight="1" x14ac:dyDescent="0.25">
      <c r="A54" s="3" t="s">
        <v>119</v>
      </c>
      <c r="B54" s="4" t="s">
        <v>120</v>
      </c>
      <c r="C54" s="5" t="s">
        <v>242</v>
      </c>
      <c r="D54" s="5" t="s">
        <v>236</v>
      </c>
      <c r="E54" s="5" t="s">
        <v>236</v>
      </c>
      <c r="F54" s="5" t="s">
        <v>236</v>
      </c>
      <c r="G54" s="5" t="s">
        <v>242</v>
      </c>
      <c r="H54" s="4">
        <f t="shared" si="1"/>
        <v>3.82</v>
      </c>
    </row>
    <row r="55" spans="1:8" ht="15.75" customHeight="1" x14ac:dyDescent="0.25">
      <c r="A55" s="3" t="s">
        <v>121</v>
      </c>
      <c r="B55" s="4" t="s">
        <v>122</v>
      </c>
      <c r="C55" s="5" t="s">
        <v>243</v>
      </c>
      <c r="D55" s="5" t="s">
        <v>238</v>
      </c>
      <c r="E55" s="5" t="s">
        <v>236</v>
      </c>
      <c r="F55" s="5" t="s">
        <v>243</v>
      </c>
      <c r="G55" s="5" t="s">
        <v>236</v>
      </c>
      <c r="H55" s="4">
        <f t="shared" si="1"/>
        <v>2.87</v>
      </c>
    </row>
    <row r="56" spans="1:8" ht="15.75" customHeight="1" x14ac:dyDescent="0.25">
      <c r="A56" s="3" t="s">
        <v>123</v>
      </c>
      <c r="B56" s="4" t="s">
        <v>124</v>
      </c>
      <c r="C56" s="5" t="s">
        <v>235</v>
      </c>
      <c r="D56" s="5" t="s">
        <v>241</v>
      </c>
      <c r="E56" s="5" t="s">
        <v>235</v>
      </c>
      <c r="F56" s="5" t="s">
        <v>241</v>
      </c>
      <c r="G56" s="5" t="s">
        <v>241</v>
      </c>
      <c r="H56" s="4">
        <f t="shared" si="1"/>
        <v>3.67</v>
      </c>
    </row>
    <row r="57" spans="1:8" ht="15.75" customHeight="1" x14ac:dyDescent="0.25">
      <c r="A57" s="3" t="s">
        <v>125</v>
      </c>
      <c r="B57" s="4" t="s">
        <v>126</v>
      </c>
      <c r="C57" s="5" t="s">
        <v>237</v>
      </c>
      <c r="D57" s="5" t="s">
        <v>238</v>
      </c>
      <c r="E57" s="5" t="s">
        <v>238</v>
      </c>
      <c r="F57" s="5" t="s">
        <v>236</v>
      </c>
      <c r="G57" s="5" t="s">
        <v>236</v>
      </c>
      <c r="H57" s="4">
        <f t="shared" si="1"/>
        <v>3.05</v>
      </c>
    </row>
    <row r="58" spans="1:8" ht="15.75" customHeight="1" x14ac:dyDescent="0.25">
      <c r="A58" s="3" t="s">
        <v>127</v>
      </c>
      <c r="B58" s="4" t="s">
        <v>128</v>
      </c>
      <c r="C58" s="5" t="s">
        <v>242</v>
      </c>
      <c r="D58" s="5" t="s">
        <v>242</v>
      </c>
      <c r="E58" s="5" t="s">
        <v>242</v>
      </c>
      <c r="F58" s="5" t="s">
        <v>241</v>
      </c>
      <c r="G58" s="5" t="s">
        <v>241</v>
      </c>
      <c r="H58" s="4">
        <f t="shared" si="1"/>
        <v>4</v>
      </c>
    </row>
    <row r="59" spans="1:8" ht="15.75" customHeight="1" x14ac:dyDescent="0.25">
      <c r="A59" s="3" t="s">
        <v>129</v>
      </c>
      <c r="B59" s="4" t="s">
        <v>130</v>
      </c>
      <c r="C59" s="5" t="s">
        <v>235</v>
      </c>
      <c r="D59" s="5" t="s">
        <v>238</v>
      </c>
      <c r="E59" s="5" t="s">
        <v>235</v>
      </c>
      <c r="F59" s="5" t="s">
        <v>236</v>
      </c>
      <c r="G59" s="5" t="s">
        <v>237</v>
      </c>
      <c r="H59" s="4">
        <f t="shared" si="1"/>
        <v>3.15</v>
      </c>
    </row>
    <row r="60" spans="1:8" ht="15.75" customHeight="1" x14ac:dyDescent="0.25">
      <c r="A60" s="3" t="s">
        <v>131</v>
      </c>
      <c r="B60" s="4" t="s">
        <v>132</v>
      </c>
      <c r="C60" s="5" t="s">
        <v>236</v>
      </c>
      <c r="D60" s="5" t="s">
        <v>235</v>
      </c>
      <c r="E60" s="5" t="s">
        <v>235</v>
      </c>
      <c r="F60" s="5" t="s">
        <v>238</v>
      </c>
      <c r="G60" s="5" t="s">
        <v>238</v>
      </c>
      <c r="H60" s="4">
        <f t="shared" si="1"/>
        <v>3.25</v>
      </c>
    </row>
    <row r="61" spans="1:8" ht="15.75" customHeight="1" x14ac:dyDescent="0.25">
      <c r="A61" s="3" t="s">
        <v>133</v>
      </c>
      <c r="B61" s="4" t="s">
        <v>134</v>
      </c>
      <c r="C61" s="5" t="s">
        <v>235</v>
      </c>
      <c r="D61" s="5" t="s">
        <v>236</v>
      </c>
      <c r="E61" s="5" t="s">
        <v>235</v>
      </c>
      <c r="F61" s="5" t="s">
        <v>237</v>
      </c>
      <c r="G61" s="5" t="s">
        <v>236</v>
      </c>
      <c r="H61" s="4">
        <f t="shared" si="1"/>
        <v>3.42</v>
      </c>
    </row>
    <row r="62" spans="1:8" ht="15.75" customHeight="1" x14ac:dyDescent="0.25">
      <c r="A62" s="3" t="s">
        <v>135</v>
      </c>
      <c r="B62" s="4" t="s">
        <v>136</v>
      </c>
      <c r="C62" s="5" t="s">
        <v>237</v>
      </c>
      <c r="D62" s="5" t="s">
        <v>235</v>
      </c>
      <c r="E62" s="5" t="s">
        <v>236</v>
      </c>
      <c r="F62" s="5" t="s">
        <v>235</v>
      </c>
      <c r="G62" s="5" t="s">
        <v>236</v>
      </c>
      <c r="H62" s="4">
        <f t="shared" si="1"/>
        <v>3.35</v>
      </c>
    </row>
    <row r="63" spans="1:8" ht="15.75" customHeight="1" x14ac:dyDescent="0.25">
      <c r="A63" s="3" t="s">
        <v>137</v>
      </c>
      <c r="B63" s="4" t="s">
        <v>138</v>
      </c>
      <c r="C63" s="5" t="s">
        <v>244</v>
      </c>
      <c r="D63" s="5" t="s">
        <v>235</v>
      </c>
      <c r="E63" s="5" t="s">
        <v>235</v>
      </c>
      <c r="F63" s="5" t="s">
        <v>238</v>
      </c>
      <c r="G63" s="5" t="s">
        <v>235</v>
      </c>
      <c r="H63" s="4">
        <f t="shared" si="1"/>
        <v>2.87</v>
      </c>
    </row>
    <row r="64" spans="1:8" ht="15.75" customHeight="1" x14ac:dyDescent="0.25">
      <c r="A64" s="3" t="s">
        <v>139</v>
      </c>
      <c r="B64" s="4" t="s">
        <v>140</v>
      </c>
      <c r="C64" s="5" t="s">
        <v>238</v>
      </c>
      <c r="D64" s="5" t="s">
        <v>237</v>
      </c>
      <c r="E64" s="5" t="s">
        <v>235</v>
      </c>
      <c r="F64" s="5" t="s">
        <v>237</v>
      </c>
      <c r="G64" s="5" t="s">
        <v>243</v>
      </c>
      <c r="H64" s="4">
        <f t="shared" si="1"/>
        <v>2.89</v>
      </c>
    </row>
    <row r="65" spans="1:8" ht="15.75" customHeight="1" x14ac:dyDescent="0.25">
      <c r="A65" s="3" t="s">
        <v>141</v>
      </c>
      <c r="B65" s="4" t="s">
        <v>142</v>
      </c>
      <c r="C65" s="5" t="s">
        <v>244</v>
      </c>
      <c r="D65" s="5" t="s">
        <v>238</v>
      </c>
      <c r="E65" s="5" t="s">
        <v>243</v>
      </c>
      <c r="F65" s="5" t="s">
        <v>235</v>
      </c>
      <c r="G65" s="5" t="s">
        <v>237</v>
      </c>
      <c r="H65" s="4">
        <f t="shared" si="1"/>
        <v>2.5499999999999998</v>
      </c>
    </row>
    <row r="66" spans="1:8" ht="15.75" customHeight="1" x14ac:dyDescent="0.25">
      <c r="A66" s="3" t="s">
        <v>143</v>
      </c>
      <c r="B66" s="4" t="s">
        <v>144</v>
      </c>
      <c r="C66" s="5" t="s">
        <v>235</v>
      </c>
      <c r="D66" s="5" t="s">
        <v>236</v>
      </c>
      <c r="E66" s="5" t="s">
        <v>236</v>
      </c>
      <c r="F66" s="5" t="s">
        <v>235</v>
      </c>
      <c r="G66" s="5" t="s">
        <v>238</v>
      </c>
      <c r="H66" s="4">
        <f t="shared" si="1"/>
        <v>3.41</v>
      </c>
    </row>
    <row r="67" spans="1:8" ht="15.75" customHeight="1" x14ac:dyDescent="0.25">
      <c r="A67" s="3" t="s">
        <v>145</v>
      </c>
      <c r="B67" s="4" t="s">
        <v>146</v>
      </c>
      <c r="C67" s="5" t="s">
        <v>243</v>
      </c>
      <c r="D67" s="5" t="s">
        <v>235</v>
      </c>
      <c r="E67" s="5" t="s">
        <v>235</v>
      </c>
      <c r="F67" s="5" t="s">
        <v>235</v>
      </c>
      <c r="G67" s="5" t="s">
        <v>241</v>
      </c>
      <c r="H67" s="4">
        <f t="shared" ref="H67:H98" si="2">IFERROR(
ROUND(
(
(IF(C67="A+", 4, IF(C67="A", 4, IF(C67="A-", 3.7, IF(C67="B+", 3.3, IF(C67="B", 3, IF(C67="B-", 2.7, IF(C67="C+", 2.3, IF(C67="C", 2, IF(C67="C-", 1.7, IF(C67="D+", 1.3, IF(C67="D", 1, IF(C67="E", 0, 0)))))))))))) * 4) +
(IF(D67="A+", 4, IF(D67="A", 4, IF(D67="A-", 3.7, IF(D67="B+", 3.3, IF(D67="B", 3, IF(D67="B-", 2.7, IF(D67="C+", 2.3, IF(D67="C", 2, IF(D67="C-", 1.7, IF(D67="D+", 1.3, IF(D67="D", 1, IF(D67="E", 0, 0)))))))))))) * 4) +
(IF(E67="A+", 4, IF(E67="A", 4, IF(E67="A-", 3.7, IF(E67="B+", 3.3, IF(E67="B", 3, IF(E67="B-", 2.7, IF(E67="C+", 2.3, IF(E67="C", 2, IF(E67="C-", 1.7, IF(E67="D+", 1.3, IF(E67="D", 1, IF(E67="E", 0, 0)))))))))))) * 3) +
(IF(F67="A+", 4, IF(F67="A", 4, IF(F67="A-", 3.7, IF(F67="B+", 3.3, IF(F67="B", 3, IF(F67="B-", 2.7, IF(F67="C+", 2.3, IF(F67="C", 2, IF(F67="C-", 1.7, IF(F67="D+", 1.3, IF(F67="D", 1, IF(F67="E", 0, 0)))))))))))) * 2) +
(IF(G67="A+", 4, IF(G67="A", 4, IF(G67="A-", 3.7, IF(G67="B+", 3.3, IF(G67="B", 3, IF(G67="B-", 2.7, IF(G67="C+", 2.3, IF(G67="C", 2, IF(G67="C-", 1.7, IF(G67="D+", 1.3, IF(G67="D", 1, IF(G67="E", 0, 0)))))))))))) * 2)
) / (4 + 4 + 3 + 2 + 2),
2),
0)</f>
        <v>3.13</v>
      </c>
    </row>
    <row r="68" spans="1:8" ht="15.75" customHeight="1" x14ac:dyDescent="0.25">
      <c r="A68" s="3" t="s">
        <v>147</v>
      </c>
      <c r="B68" s="4" t="s">
        <v>148</v>
      </c>
      <c r="C68" s="5" t="s">
        <v>241</v>
      </c>
      <c r="D68" s="5" t="s">
        <v>236</v>
      </c>
      <c r="E68" s="5" t="s">
        <v>235</v>
      </c>
      <c r="F68" s="5" t="s">
        <v>238</v>
      </c>
      <c r="G68" s="5" t="s">
        <v>235</v>
      </c>
      <c r="H68" s="4">
        <f t="shared" si="2"/>
        <v>3.51</v>
      </c>
    </row>
    <row r="69" spans="1:8" ht="15.75" customHeight="1" x14ac:dyDescent="0.25">
      <c r="A69" s="3" t="s">
        <v>149</v>
      </c>
      <c r="B69" s="4" t="s">
        <v>150</v>
      </c>
      <c r="C69" s="5" t="s">
        <v>244</v>
      </c>
      <c r="D69" s="5" t="s">
        <v>244</v>
      </c>
      <c r="E69" s="5" t="s">
        <v>244</v>
      </c>
      <c r="F69" s="5" t="s">
        <v>239</v>
      </c>
      <c r="G69" s="5" t="s">
        <v>244</v>
      </c>
      <c r="H69" s="4">
        <f t="shared" si="2"/>
        <v>1.96</v>
      </c>
    </row>
    <row r="70" spans="1:8" ht="15.75" customHeight="1" x14ac:dyDescent="0.25">
      <c r="A70" s="3" t="s">
        <v>151</v>
      </c>
      <c r="B70" s="4" t="s">
        <v>152</v>
      </c>
      <c r="C70" s="5" t="s">
        <v>243</v>
      </c>
      <c r="D70" s="5" t="s">
        <v>237</v>
      </c>
      <c r="E70" s="5" t="s">
        <v>237</v>
      </c>
      <c r="F70" s="5" t="s">
        <v>238</v>
      </c>
      <c r="G70" s="5" t="s">
        <v>238</v>
      </c>
      <c r="H70" s="4">
        <f t="shared" si="2"/>
        <v>2.73</v>
      </c>
    </row>
    <row r="71" spans="1:8" ht="15.75" customHeight="1" x14ac:dyDescent="0.25">
      <c r="A71" s="3" t="s">
        <v>153</v>
      </c>
      <c r="B71" s="4" t="s">
        <v>154</v>
      </c>
      <c r="C71" s="5" t="s">
        <v>243</v>
      </c>
      <c r="D71" s="5" t="s">
        <v>244</v>
      </c>
      <c r="E71" s="5" t="s">
        <v>238</v>
      </c>
      <c r="F71" s="5" t="s">
        <v>237</v>
      </c>
      <c r="G71" s="5" t="s">
        <v>239</v>
      </c>
      <c r="H71" s="4">
        <f t="shared" si="2"/>
        <v>2.31</v>
      </c>
    </row>
    <row r="72" spans="1:8" ht="15.75" customHeight="1" x14ac:dyDescent="0.25">
      <c r="A72" s="3" t="s">
        <v>155</v>
      </c>
      <c r="B72" s="4" t="s">
        <v>156</v>
      </c>
      <c r="C72" s="5" t="s">
        <v>241</v>
      </c>
      <c r="D72" s="5" t="s">
        <v>242</v>
      </c>
      <c r="E72" s="5" t="s">
        <v>237</v>
      </c>
      <c r="F72" s="5" t="s">
        <v>243</v>
      </c>
      <c r="G72" s="5" t="s">
        <v>242</v>
      </c>
      <c r="H72" s="4">
        <f t="shared" si="2"/>
        <v>3.57</v>
      </c>
    </row>
    <row r="73" spans="1:8" ht="15.75" customHeight="1" x14ac:dyDescent="0.25">
      <c r="A73" s="3" t="s">
        <v>157</v>
      </c>
      <c r="B73" s="4" t="s">
        <v>158</v>
      </c>
      <c r="C73" s="5" t="s">
        <v>242</v>
      </c>
      <c r="D73" s="5" t="s">
        <v>241</v>
      </c>
      <c r="E73" s="5" t="s">
        <v>241</v>
      </c>
      <c r="F73" s="5" t="s">
        <v>237</v>
      </c>
      <c r="G73" s="5" t="s">
        <v>235</v>
      </c>
      <c r="H73" s="4">
        <f t="shared" si="2"/>
        <v>3.77</v>
      </c>
    </row>
    <row r="74" spans="1:8" ht="15.75" customHeight="1" x14ac:dyDescent="0.25">
      <c r="A74" s="3" t="s">
        <v>159</v>
      </c>
      <c r="B74" s="4" t="s">
        <v>160</v>
      </c>
      <c r="C74" s="5" t="s">
        <v>236</v>
      </c>
      <c r="D74" s="5" t="s">
        <v>242</v>
      </c>
      <c r="E74" s="5" t="s">
        <v>237</v>
      </c>
      <c r="F74" s="5" t="s">
        <v>241</v>
      </c>
      <c r="G74" s="5" t="s">
        <v>241</v>
      </c>
      <c r="H74" s="4">
        <f t="shared" si="2"/>
        <v>3.72</v>
      </c>
    </row>
    <row r="75" spans="1:8" ht="15.75" customHeight="1" x14ac:dyDescent="0.25">
      <c r="A75" s="3" t="s">
        <v>161</v>
      </c>
      <c r="B75" s="4" t="s">
        <v>162</v>
      </c>
      <c r="C75" s="5" t="s">
        <v>236</v>
      </c>
      <c r="D75" s="5" t="s">
        <v>241</v>
      </c>
      <c r="E75" s="5" t="s">
        <v>241</v>
      </c>
      <c r="F75" s="5" t="s">
        <v>241</v>
      </c>
      <c r="G75" s="5" t="s">
        <v>242</v>
      </c>
      <c r="H75" s="4">
        <f t="shared" si="2"/>
        <v>3.92</v>
      </c>
    </row>
    <row r="76" spans="1:8" ht="15.75" customHeight="1" x14ac:dyDescent="0.25">
      <c r="A76" s="3" t="s">
        <v>163</v>
      </c>
      <c r="B76" s="4" t="s">
        <v>164</v>
      </c>
      <c r="C76" s="5" t="s">
        <v>237</v>
      </c>
      <c r="D76" s="5" t="s">
        <v>236</v>
      </c>
      <c r="E76" s="5" t="s">
        <v>242</v>
      </c>
      <c r="F76" s="5" t="s">
        <v>242</v>
      </c>
      <c r="G76" s="5" t="s">
        <v>241</v>
      </c>
      <c r="H76" s="4">
        <f t="shared" si="2"/>
        <v>3.65</v>
      </c>
    </row>
    <row r="77" spans="1:8" ht="15.75" customHeight="1" x14ac:dyDescent="0.25">
      <c r="A77" s="3" t="s">
        <v>165</v>
      </c>
      <c r="B77" s="4" t="s">
        <v>166</v>
      </c>
      <c r="C77" s="5" t="s">
        <v>238</v>
      </c>
      <c r="D77" s="5" t="s">
        <v>237</v>
      </c>
      <c r="E77" s="5" t="s">
        <v>236</v>
      </c>
      <c r="F77" s="5" t="s">
        <v>235</v>
      </c>
      <c r="G77" s="5" t="s">
        <v>244</v>
      </c>
      <c r="H77" s="4">
        <f t="shared" si="2"/>
        <v>2.97</v>
      </c>
    </row>
    <row r="78" spans="1:8" ht="15.75" customHeight="1" x14ac:dyDescent="0.25">
      <c r="A78" s="3" t="s">
        <v>167</v>
      </c>
      <c r="B78" s="4" t="s">
        <v>168</v>
      </c>
      <c r="C78" s="5" t="s">
        <v>241</v>
      </c>
      <c r="D78" s="5" t="s">
        <v>242</v>
      </c>
      <c r="E78" s="5" t="s">
        <v>242</v>
      </c>
      <c r="F78" s="5" t="s">
        <v>241</v>
      </c>
      <c r="G78" s="5" t="s">
        <v>242</v>
      </c>
      <c r="H78" s="4">
        <f t="shared" si="2"/>
        <v>4</v>
      </c>
    </row>
    <row r="79" spans="1:8" ht="15.75" customHeight="1" x14ac:dyDescent="0.25">
      <c r="A79" s="3" t="s">
        <v>169</v>
      </c>
      <c r="B79" s="4" t="s">
        <v>170</v>
      </c>
      <c r="C79" s="5" t="s">
        <v>236</v>
      </c>
      <c r="D79" s="5" t="s">
        <v>241</v>
      </c>
      <c r="E79" s="5" t="s">
        <v>242</v>
      </c>
      <c r="F79" s="5" t="s">
        <v>242</v>
      </c>
      <c r="G79" s="5" t="s">
        <v>242</v>
      </c>
      <c r="H79" s="4">
        <f t="shared" si="2"/>
        <v>3.92</v>
      </c>
    </row>
    <row r="80" spans="1:8" ht="15.75" customHeight="1" x14ac:dyDescent="0.25">
      <c r="A80" s="3" t="s">
        <v>171</v>
      </c>
      <c r="B80" s="4" t="s">
        <v>172</v>
      </c>
      <c r="C80" s="5" t="s">
        <v>242</v>
      </c>
      <c r="D80" s="5" t="s">
        <v>242</v>
      </c>
      <c r="E80" s="5" t="s">
        <v>241</v>
      </c>
      <c r="F80" s="5" t="s">
        <v>237</v>
      </c>
      <c r="G80" s="5" t="s">
        <v>236</v>
      </c>
      <c r="H80" s="4">
        <f t="shared" si="2"/>
        <v>3.83</v>
      </c>
    </row>
    <row r="81" spans="1:8" ht="15.75" customHeight="1" x14ac:dyDescent="0.25">
      <c r="A81" s="3" t="s">
        <v>173</v>
      </c>
      <c r="B81" s="4" t="s">
        <v>174</v>
      </c>
      <c r="C81" s="5" t="s">
        <v>242</v>
      </c>
      <c r="D81" s="5" t="s">
        <v>241</v>
      </c>
      <c r="E81" s="5" t="s">
        <v>242</v>
      </c>
      <c r="F81" s="5" t="s">
        <v>244</v>
      </c>
      <c r="G81" s="5" t="s">
        <v>237</v>
      </c>
      <c r="H81" s="4">
        <f t="shared" si="2"/>
        <v>3.6</v>
      </c>
    </row>
    <row r="82" spans="1:8" ht="15.75" customHeight="1" x14ac:dyDescent="0.25">
      <c r="A82" s="3" t="s">
        <v>175</v>
      </c>
      <c r="B82" s="4" t="s">
        <v>176</v>
      </c>
      <c r="C82" s="5" t="s">
        <v>237</v>
      </c>
      <c r="D82" s="5" t="s">
        <v>241</v>
      </c>
      <c r="E82" s="5" t="s">
        <v>236</v>
      </c>
      <c r="F82" s="5" t="s">
        <v>244</v>
      </c>
      <c r="G82" s="5" t="s">
        <v>237</v>
      </c>
      <c r="H82" s="4">
        <f t="shared" si="2"/>
        <v>3.27</v>
      </c>
    </row>
    <row r="83" spans="1:8" ht="15.75" customHeight="1" x14ac:dyDescent="0.25">
      <c r="A83" s="3" t="s">
        <v>177</v>
      </c>
      <c r="B83" s="4" t="s">
        <v>178</v>
      </c>
      <c r="C83" s="5" t="s">
        <v>237</v>
      </c>
      <c r="D83" s="5" t="s">
        <v>241</v>
      </c>
      <c r="E83" s="5" t="s">
        <v>236</v>
      </c>
      <c r="F83" s="5" t="s">
        <v>236</v>
      </c>
      <c r="G83" s="5" t="s">
        <v>236</v>
      </c>
      <c r="H83" s="4">
        <f t="shared" si="2"/>
        <v>3.59</v>
      </c>
    </row>
    <row r="84" spans="1:8" ht="15.75" customHeight="1" x14ac:dyDescent="0.25">
      <c r="A84" s="3" t="s">
        <v>179</v>
      </c>
      <c r="B84" s="4" t="s">
        <v>180</v>
      </c>
      <c r="C84" s="5" t="s">
        <v>235</v>
      </c>
      <c r="D84" s="5" t="s">
        <v>236</v>
      </c>
      <c r="E84" s="5" t="s">
        <v>235</v>
      </c>
      <c r="F84" s="5" t="s">
        <v>238</v>
      </c>
      <c r="G84" s="5" t="s">
        <v>237</v>
      </c>
      <c r="H84" s="4">
        <f t="shared" si="2"/>
        <v>3.29</v>
      </c>
    </row>
    <row r="85" spans="1:8" ht="15.75" customHeight="1" x14ac:dyDescent="0.25">
      <c r="A85" s="3" t="s">
        <v>181</v>
      </c>
      <c r="B85" s="4" t="s">
        <v>182</v>
      </c>
      <c r="C85" s="5" t="s">
        <v>242</v>
      </c>
      <c r="D85" s="5" t="s">
        <v>242</v>
      </c>
      <c r="E85" s="5" t="s">
        <v>241</v>
      </c>
      <c r="F85" s="5" t="s">
        <v>237</v>
      </c>
      <c r="G85" s="5" t="s">
        <v>236</v>
      </c>
      <c r="H85" s="4">
        <f t="shared" si="2"/>
        <v>3.83</v>
      </c>
    </row>
    <row r="86" spans="1:8" ht="15.75" customHeight="1" x14ac:dyDescent="0.25">
      <c r="A86" s="3" t="s">
        <v>183</v>
      </c>
      <c r="B86" s="4" t="s">
        <v>184</v>
      </c>
      <c r="C86" s="5" t="s">
        <v>241</v>
      </c>
      <c r="D86" s="5" t="s">
        <v>241</v>
      </c>
      <c r="E86" s="5" t="s">
        <v>241</v>
      </c>
      <c r="F86" s="5" t="s">
        <v>241</v>
      </c>
      <c r="G86" s="5" t="s">
        <v>236</v>
      </c>
      <c r="H86" s="4">
        <f t="shared" si="2"/>
        <v>3.96</v>
      </c>
    </row>
    <row r="87" spans="1:8" ht="15.75" customHeight="1" x14ac:dyDescent="0.25">
      <c r="A87" s="3" t="s">
        <v>185</v>
      </c>
      <c r="B87" s="4" t="s">
        <v>186</v>
      </c>
      <c r="C87" s="5" t="s">
        <v>235</v>
      </c>
      <c r="D87" s="5" t="s">
        <v>235</v>
      </c>
      <c r="E87" s="5" t="s">
        <v>241</v>
      </c>
      <c r="F87" s="5" t="s">
        <v>237</v>
      </c>
      <c r="G87" s="5" t="s">
        <v>235</v>
      </c>
      <c r="H87" s="4">
        <f t="shared" si="2"/>
        <v>3.4</v>
      </c>
    </row>
    <row r="88" spans="1:8" ht="15.75" customHeight="1" x14ac:dyDescent="0.25">
      <c r="A88" s="3" t="s">
        <v>187</v>
      </c>
      <c r="B88" s="4" t="s">
        <v>188</v>
      </c>
      <c r="C88" s="5" t="s">
        <v>244</v>
      </c>
      <c r="D88" s="5" t="s">
        <v>244</v>
      </c>
      <c r="E88" s="5" t="s">
        <v>244</v>
      </c>
      <c r="F88" s="5" t="s">
        <v>235</v>
      </c>
      <c r="G88" s="5" t="s">
        <v>238</v>
      </c>
      <c r="H88" s="4">
        <f t="shared" si="2"/>
        <v>2.27</v>
      </c>
    </row>
    <row r="89" spans="1:8" ht="15.75" customHeight="1" x14ac:dyDescent="0.25">
      <c r="A89" s="3" t="s">
        <v>189</v>
      </c>
      <c r="B89" s="4" t="s">
        <v>190</v>
      </c>
      <c r="C89" s="5" t="s">
        <v>235</v>
      </c>
      <c r="D89" s="5" t="s">
        <v>235</v>
      </c>
      <c r="E89" s="5" t="s">
        <v>241</v>
      </c>
      <c r="F89" s="5" t="s">
        <v>235</v>
      </c>
      <c r="G89" s="5" t="s">
        <v>237</v>
      </c>
      <c r="H89" s="4">
        <f t="shared" si="2"/>
        <v>3.4</v>
      </c>
    </row>
    <row r="90" spans="1:8" ht="15.75" customHeight="1" x14ac:dyDescent="0.25">
      <c r="A90" s="3" t="s">
        <v>191</v>
      </c>
      <c r="B90" s="4" t="s">
        <v>192</v>
      </c>
      <c r="C90" s="5" t="s">
        <v>243</v>
      </c>
      <c r="D90" s="5" t="s">
        <v>237</v>
      </c>
      <c r="E90" s="5" t="s">
        <v>235</v>
      </c>
      <c r="F90" s="5" t="s">
        <v>235</v>
      </c>
      <c r="G90" s="5" t="s">
        <v>244</v>
      </c>
      <c r="H90" s="4">
        <f t="shared" si="2"/>
        <v>2.78</v>
      </c>
    </row>
    <row r="91" spans="1:8" ht="15.75" customHeight="1" x14ac:dyDescent="0.25">
      <c r="A91" s="3" t="s">
        <v>193</v>
      </c>
      <c r="B91" s="4" t="s">
        <v>194</v>
      </c>
      <c r="C91" s="5" t="s">
        <v>237</v>
      </c>
      <c r="D91" s="5" t="s">
        <v>237</v>
      </c>
      <c r="E91" s="5" t="s">
        <v>236</v>
      </c>
      <c r="F91" s="5" t="s">
        <v>236</v>
      </c>
      <c r="G91" s="5" t="s">
        <v>242</v>
      </c>
      <c r="H91" s="4">
        <f t="shared" si="2"/>
        <v>3.37</v>
      </c>
    </row>
    <row r="92" spans="1:8" ht="15.75" customHeight="1" x14ac:dyDescent="0.25">
      <c r="A92" s="3" t="s">
        <v>195</v>
      </c>
      <c r="B92" s="4" t="s">
        <v>196</v>
      </c>
      <c r="C92" s="5" t="s">
        <v>235</v>
      </c>
      <c r="D92" s="5" t="s">
        <v>236</v>
      </c>
      <c r="E92" s="5" t="s">
        <v>236</v>
      </c>
      <c r="F92" s="5" t="s">
        <v>236</v>
      </c>
      <c r="G92" s="5" t="s">
        <v>241</v>
      </c>
      <c r="H92" s="4">
        <f t="shared" si="2"/>
        <v>3.63</v>
      </c>
    </row>
    <row r="93" spans="1:8" ht="15.75" customHeight="1" x14ac:dyDescent="0.25">
      <c r="A93" s="3" t="s">
        <v>197</v>
      </c>
      <c r="B93" s="4" t="s">
        <v>198</v>
      </c>
      <c r="C93" s="5" t="s">
        <v>241</v>
      </c>
      <c r="D93" s="5" t="s">
        <v>241</v>
      </c>
      <c r="E93" s="5" t="s">
        <v>242</v>
      </c>
      <c r="F93" s="5" t="s">
        <v>236</v>
      </c>
      <c r="G93" s="5" t="s">
        <v>236</v>
      </c>
      <c r="H93" s="4">
        <f t="shared" si="2"/>
        <v>3.92</v>
      </c>
    </row>
    <row r="94" spans="1:8" ht="15.75" customHeight="1" x14ac:dyDescent="0.25">
      <c r="A94" s="3" t="s">
        <v>199</v>
      </c>
      <c r="B94" s="4" t="s">
        <v>200</v>
      </c>
      <c r="C94" s="5" t="s">
        <v>237</v>
      </c>
      <c r="D94" s="5" t="s">
        <v>236</v>
      </c>
      <c r="E94" s="5" t="s">
        <v>241</v>
      </c>
      <c r="F94" s="5" t="s">
        <v>244</v>
      </c>
      <c r="G94" s="5" t="s">
        <v>237</v>
      </c>
      <c r="H94" s="4">
        <f t="shared" si="2"/>
        <v>3.25</v>
      </c>
    </row>
    <row r="95" spans="1:8" ht="15.75" customHeight="1" x14ac:dyDescent="0.25">
      <c r="A95" s="3" t="s">
        <v>201</v>
      </c>
      <c r="B95" s="4" t="s">
        <v>202</v>
      </c>
      <c r="C95" s="5" t="s">
        <v>242</v>
      </c>
      <c r="D95" s="5" t="s">
        <v>235</v>
      </c>
      <c r="E95" s="5" t="s">
        <v>236</v>
      </c>
      <c r="F95" s="5" t="s">
        <v>241</v>
      </c>
      <c r="G95" s="5" t="s">
        <v>237</v>
      </c>
      <c r="H95" s="4">
        <f t="shared" si="2"/>
        <v>3.62</v>
      </c>
    </row>
    <row r="96" spans="1:8" ht="15.75" customHeight="1" x14ac:dyDescent="0.25">
      <c r="A96" s="3" t="s">
        <v>203</v>
      </c>
      <c r="B96" s="4" t="s">
        <v>204</v>
      </c>
      <c r="C96" s="5" t="s">
        <v>236</v>
      </c>
      <c r="D96" s="5" t="s">
        <v>241</v>
      </c>
      <c r="E96" s="5" t="s">
        <v>241</v>
      </c>
      <c r="F96" s="5" t="s">
        <v>235</v>
      </c>
      <c r="G96" s="5" t="s">
        <v>235</v>
      </c>
      <c r="H96" s="4">
        <f t="shared" si="2"/>
        <v>3.73</v>
      </c>
    </row>
    <row r="97" spans="1:8" ht="15.75" customHeight="1" x14ac:dyDescent="0.25">
      <c r="A97" s="3" t="s">
        <v>205</v>
      </c>
      <c r="B97" s="4" t="s">
        <v>206</v>
      </c>
      <c r="C97" s="5" t="s">
        <v>237</v>
      </c>
      <c r="D97" s="5" t="s">
        <v>237</v>
      </c>
      <c r="E97" s="5" t="s">
        <v>236</v>
      </c>
      <c r="F97" s="5" t="s">
        <v>235</v>
      </c>
      <c r="G97" s="5" t="s">
        <v>237</v>
      </c>
      <c r="H97" s="4">
        <f t="shared" si="2"/>
        <v>3.18</v>
      </c>
    </row>
    <row r="98" spans="1:8" ht="15.75" customHeight="1" x14ac:dyDescent="0.25">
      <c r="A98" s="3" t="s">
        <v>207</v>
      </c>
      <c r="B98" s="4" t="s">
        <v>208</v>
      </c>
      <c r="C98" s="5" t="s">
        <v>238</v>
      </c>
      <c r="D98" s="5" t="s">
        <v>235</v>
      </c>
      <c r="E98" s="5" t="s">
        <v>235</v>
      </c>
      <c r="F98" s="5" t="s">
        <v>243</v>
      </c>
      <c r="G98" s="5" t="s">
        <v>243</v>
      </c>
      <c r="H98" s="4">
        <f t="shared" si="2"/>
        <v>2.87</v>
      </c>
    </row>
    <row r="99" spans="1:8" ht="15.75" customHeight="1" x14ac:dyDescent="0.25">
      <c r="A99" s="3" t="s">
        <v>209</v>
      </c>
      <c r="B99" s="4" t="s">
        <v>210</v>
      </c>
      <c r="C99" s="5" t="s">
        <v>244</v>
      </c>
      <c r="D99" s="5" t="s">
        <v>237</v>
      </c>
      <c r="E99" s="5" t="s">
        <v>242</v>
      </c>
      <c r="F99" s="5" t="s">
        <v>236</v>
      </c>
      <c r="G99" s="5" t="s">
        <v>236</v>
      </c>
      <c r="H99" s="4">
        <f t="shared" ref="H99:H108" si="3">IFERROR(
ROUND(
(
(IF(C99="A+", 4, IF(C99="A", 4, IF(C99="A-", 3.7, IF(C99="B+", 3.3, IF(C99="B", 3, IF(C99="B-", 2.7, IF(C99="C+", 2.3, IF(C99="C", 2, IF(C99="C-", 1.7, IF(C99="D+", 1.3, IF(C99="D", 1, IF(C99="E", 0, 0)))))))))))) * 4) +
(IF(D99="A+", 4, IF(D99="A", 4, IF(D99="A-", 3.7, IF(D99="B+", 3.3, IF(D99="B", 3, IF(D99="B-", 2.7, IF(D99="C+", 2.3, IF(D99="C", 2, IF(D99="C-", 1.7, IF(D99="D+", 1.3, IF(D99="D", 1, IF(D99="E", 0, 0)))))))))))) * 4) +
(IF(E99="A+", 4, IF(E99="A", 4, IF(E99="A-", 3.7, IF(E99="B+", 3.3, IF(E99="B", 3, IF(E99="B-", 2.7, IF(E99="C+", 2.3, IF(E99="C", 2, IF(E99="C-", 1.7, IF(E99="D+", 1.3, IF(E99="D", 1, IF(E99="E", 0, 0)))))))))))) * 3) +
(IF(F99="A+", 4, IF(F99="A", 4, IF(F99="A-", 3.7, IF(F99="B+", 3.3, IF(F99="B", 3, IF(F99="B-", 2.7, IF(F99="C+", 2.3, IF(F99="C", 2, IF(F99="C-", 1.7, IF(F99="D+", 1.3, IF(F99="D", 1, IF(F99="E", 0, 0)))))))))))) * 2) +
(IF(G99="A+", 4, IF(G99="A", 4, IF(G99="A-", 3.7, IF(G99="B+", 3.3, IF(G99="B", 3, IF(G99="B-", 2.7, IF(G99="C+", 2.3, IF(G99="C", 2, IF(G99="C-", 1.7, IF(G99="D+", 1.3, IF(G99="D", 1, IF(G99="E", 0, 0)))))))))))) * 2)
) / (4 + 4 + 3 + 2 + 2),
2),
0)</f>
        <v>3.12</v>
      </c>
    </row>
    <row r="100" spans="1:8" ht="15.75" customHeight="1" x14ac:dyDescent="0.25">
      <c r="A100" s="3" t="s">
        <v>211</v>
      </c>
      <c r="B100" s="4" t="s">
        <v>212</v>
      </c>
      <c r="C100" s="5" t="s">
        <v>237</v>
      </c>
      <c r="D100" s="5" t="s">
        <v>238</v>
      </c>
      <c r="E100" s="5" t="s">
        <v>235</v>
      </c>
      <c r="F100" s="5" t="s">
        <v>238</v>
      </c>
      <c r="G100" s="5" t="s">
        <v>237</v>
      </c>
      <c r="H100" s="4">
        <f t="shared" si="3"/>
        <v>2.94</v>
      </c>
    </row>
    <row r="101" spans="1:8" ht="15.75" customHeight="1" x14ac:dyDescent="0.25">
      <c r="A101" s="3" t="s">
        <v>213</v>
      </c>
      <c r="B101" s="4" t="s">
        <v>214</v>
      </c>
      <c r="C101" s="5" t="s">
        <v>237</v>
      </c>
      <c r="D101" s="5" t="s">
        <v>237</v>
      </c>
      <c r="E101" s="5" t="s">
        <v>236</v>
      </c>
      <c r="F101" s="5" t="s">
        <v>236</v>
      </c>
      <c r="G101" s="5" t="s">
        <v>237</v>
      </c>
      <c r="H101" s="4">
        <f t="shared" si="3"/>
        <v>3.23</v>
      </c>
    </row>
    <row r="102" spans="1:8" ht="15.75" customHeight="1" x14ac:dyDescent="0.25">
      <c r="A102" s="3" t="s">
        <v>215</v>
      </c>
      <c r="B102" s="4" t="s">
        <v>216</v>
      </c>
      <c r="C102" s="5" t="s">
        <v>244</v>
      </c>
      <c r="D102" s="5" t="s">
        <v>244</v>
      </c>
      <c r="E102" s="5" t="s">
        <v>238</v>
      </c>
      <c r="F102" s="5" t="s">
        <v>237</v>
      </c>
      <c r="G102" s="5" t="s">
        <v>238</v>
      </c>
      <c r="H102" s="4">
        <f t="shared" si="3"/>
        <v>2.37</v>
      </c>
    </row>
    <row r="103" spans="1:8" ht="15.75" customHeight="1" x14ac:dyDescent="0.25">
      <c r="A103" s="3" t="s">
        <v>217</v>
      </c>
      <c r="B103" s="4" t="s">
        <v>218</v>
      </c>
      <c r="C103" s="5" t="s">
        <v>237</v>
      </c>
      <c r="D103" s="5" t="s">
        <v>243</v>
      </c>
      <c r="E103" s="5" t="s">
        <v>235</v>
      </c>
      <c r="F103" s="5" t="s">
        <v>235</v>
      </c>
      <c r="G103" s="5" t="s">
        <v>238</v>
      </c>
      <c r="H103" s="4">
        <f t="shared" si="3"/>
        <v>2.87</v>
      </c>
    </row>
    <row r="104" spans="1:8" ht="15.75" customHeight="1" x14ac:dyDescent="0.25">
      <c r="A104" s="3" t="s">
        <v>219</v>
      </c>
      <c r="B104" s="4" t="s">
        <v>220</v>
      </c>
      <c r="C104" s="5" t="s">
        <v>243</v>
      </c>
      <c r="D104" s="5" t="s">
        <v>243</v>
      </c>
      <c r="E104" s="5" t="s">
        <v>236</v>
      </c>
      <c r="F104" s="5" t="s">
        <v>235</v>
      </c>
      <c r="G104" s="5" t="s">
        <v>235</v>
      </c>
      <c r="H104" s="4">
        <f t="shared" si="3"/>
        <v>2.85</v>
      </c>
    </row>
    <row r="105" spans="1:8" ht="15.75" customHeight="1" x14ac:dyDescent="0.25">
      <c r="A105" s="3" t="s">
        <v>221</v>
      </c>
      <c r="B105" s="4" t="s">
        <v>222</v>
      </c>
      <c r="C105" s="5" t="s">
        <v>242</v>
      </c>
      <c r="D105" s="5" t="s">
        <v>235</v>
      </c>
      <c r="E105" s="5" t="s">
        <v>236</v>
      </c>
      <c r="F105" s="5" t="s">
        <v>235</v>
      </c>
      <c r="G105" s="5" t="s">
        <v>238</v>
      </c>
      <c r="H105" s="4">
        <f t="shared" si="3"/>
        <v>3.49</v>
      </c>
    </row>
    <row r="106" spans="1:8" ht="15.75" customHeight="1" x14ac:dyDescent="0.25">
      <c r="A106" s="3" t="s">
        <v>223</v>
      </c>
      <c r="B106" s="4" t="s">
        <v>224</v>
      </c>
      <c r="C106" s="5" t="s">
        <v>243</v>
      </c>
      <c r="D106" s="5" t="s">
        <v>235</v>
      </c>
      <c r="E106" s="5" t="s">
        <v>235</v>
      </c>
      <c r="F106" s="5" t="s">
        <v>237</v>
      </c>
      <c r="G106" s="5" t="s">
        <v>241</v>
      </c>
      <c r="H106" s="4">
        <f t="shared" si="3"/>
        <v>3.09</v>
      </c>
    </row>
    <row r="107" spans="1:8" ht="15.75" customHeight="1" x14ac:dyDescent="0.25">
      <c r="A107" s="3" t="s">
        <v>225</v>
      </c>
      <c r="B107" s="4" t="s">
        <v>226</v>
      </c>
      <c r="C107" s="5" t="s">
        <v>242</v>
      </c>
      <c r="D107" s="5" t="s">
        <v>241</v>
      </c>
      <c r="E107" s="5" t="s">
        <v>235</v>
      </c>
      <c r="F107" s="5" t="s">
        <v>235</v>
      </c>
      <c r="G107" s="5" t="s">
        <v>242</v>
      </c>
      <c r="H107" s="4">
        <f t="shared" si="3"/>
        <v>3.77</v>
      </c>
    </row>
    <row r="108" spans="1:8" ht="15.75" customHeight="1" x14ac:dyDescent="0.25">
      <c r="A108" s="3" t="s">
        <v>227</v>
      </c>
      <c r="B108" s="4" t="s">
        <v>228</v>
      </c>
      <c r="C108" s="5" t="s">
        <v>244</v>
      </c>
      <c r="D108" s="5" t="s">
        <v>238</v>
      </c>
      <c r="E108" s="5" t="s">
        <v>238</v>
      </c>
      <c r="F108" s="5" t="s">
        <v>238</v>
      </c>
      <c r="G108" s="5" t="s">
        <v>239</v>
      </c>
      <c r="H108" s="4">
        <f t="shared" si="3"/>
        <v>2.38</v>
      </c>
    </row>
    <row r="109" spans="1:8" ht="15.75" customHeight="1" x14ac:dyDescent="0.25"/>
    <row r="110" spans="1:8" ht="15.75" customHeight="1" x14ac:dyDescent="0.25"/>
    <row r="111" spans="1:8" ht="15.75" customHeight="1" x14ac:dyDescent="0.25"/>
    <row r="112" spans="1: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/>
  </sheetViews>
  <sheetFormatPr defaultColWidth="14.42578125" defaultRowHeight="15" customHeight="1" x14ac:dyDescent="0.25"/>
  <cols>
    <col min="1" max="1" width="19.42578125" customWidth="1"/>
    <col min="2" max="2" width="31" customWidth="1"/>
    <col min="3" max="8" width="8" customWidth="1"/>
    <col min="9" max="9" width="12.7109375" customWidth="1"/>
    <col min="10" max="26" width="8" customWidth="1"/>
  </cols>
  <sheetData>
    <row r="1" spans="1:9" x14ac:dyDescent="0.25">
      <c r="A1" s="2" t="s">
        <v>0</v>
      </c>
      <c r="B1" s="2" t="s">
        <v>1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250</v>
      </c>
      <c r="H1" s="6" t="s">
        <v>251</v>
      </c>
      <c r="I1" s="1" t="s">
        <v>234</v>
      </c>
    </row>
    <row r="2" spans="1:9" x14ac:dyDescent="0.25">
      <c r="A2" s="5" t="s">
        <v>15</v>
      </c>
      <c r="B2" s="4" t="s">
        <v>16</v>
      </c>
      <c r="C2" s="5" t="s">
        <v>242</v>
      </c>
      <c r="D2" s="5" t="s">
        <v>236</v>
      </c>
      <c r="E2" s="5" t="s">
        <v>242</v>
      </c>
      <c r="F2" s="5" t="s">
        <v>236</v>
      </c>
      <c r="G2" s="5" t="s">
        <v>237</v>
      </c>
      <c r="H2" s="5" t="s">
        <v>244</v>
      </c>
      <c r="I2" s="4" t="e">
        <f>#VALUE!</f>
        <v>#VALUE!</v>
      </c>
    </row>
    <row r="3" spans="1:9" x14ac:dyDescent="0.25">
      <c r="A3" s="5" t="s">
        <v>17</v>
      </c>
      <c r="B3" s="4" t="s">
        <v>18</v>
      </c>
      <c r="C3" s="5" t="s">
        <v>244</v>
      </c>
      <c r="D3" s="5" t="s">
        <v>244</v>
      </c>
      <c r="E3" s="5" t="s">
        <v>252</v>
      </c>
      <c r="F3" s="5" t="s">
        <v>244</v>
      </c>
      <c r="G3" s="5" t="s">
        <v>253</v>
      </c>
      <c r="H3" s="5" t="s">
        <v>252</v>
      </c>
      <c r="I3" s="4" t="e">
        <f>#VALUE!</f>
        <v>#VALUE!</v>
      </c>
    </row>
    <row r="4" spans="1:9" x14ac:dyDescent="0.25">
      <c r="A4" s="5" t="s">
        <v>19</v>
      </c>
      <c r="B4" s="4" t="s">
        <v>20</v>
      </c>
      <c r="C4" s="5" t="s">
        <v>241</v>
      </c>
      <c r="D4" s="5" t="s">
        <v>237</v>
      </c>
      <c r="E4" s="5" t="s">
        <v>237</v>
      </c>
      <c r="F4" s="5" t="s">
        <v>239</v>
      </c>
      <c r="G4" s="5" t="s">
        <v>243</v>
      </c>
      <c r="H4" s="5" t="s">
        <v>243</v>
      </c>
      <c r="I4" s="4" t="e">
        <f>#VALUE!</f>
        <v>#VALUE!</v>
      </c>
    </row>
    <row r="5" spans="1:9" x14ac:dyDescent="0.25">
      <c r="A5" s="5" t="s">
        <v>21</v>
      </c>
      <c r="B5" s="4" t="s">
        <v>22</v>
      </c>
      <c r="C5" s="5" t="s">
        <v>242</v>
      </c>
      <c r="D5" s="5" t="s">
        <v>241</v>
      </c>
      <c r="E5" s="5" t="s">
        <v>243</v>
      </c>
      <c r="F5" s="5" t="s">
        <v>235</v>
      </c>
      <c r="G5" s="5" t="s">
        <v>235</v>
      </c>
      <c r="H5" s="5" t="s">
        <v>252</v>
      </c>
      <c r="I5" s="4" t="e">
        <f>#VALUE!</f>
        <v>#VALUE!</v>
      </c>
    </row>
    <row r="6" spans="1:9" x14ac:dyDescent="0.25">
      <c r="A6" s="5" t="s">
        <v>23</v>
      </c>
      <c r="B6" s="4" t="s">
        <v>24</v>
      </c>
      <c r="C6" s="5" t="s">
        <v>242</v>
      </c>
      <c r="D6" s="5" t="s">
        <v>242</v>
      </c>
      <c r="E6" s="5" t="s">
        <v>241</v>
      </c>
      <c r="F6" s="5" t="s">
        <v>237</v>
      </c>
      <c r="G6" s="5" t="s">
        <v>235</v>
      </c>
      <c r="H6" s="5" t="s">
        <v>242</v>
      </c>
      <c r="I6" s="4" t="e">
        <f>#VALUE!</f>
        <v>#VALUE!</v>
      </c>
    </row>
    <row r="7" spans="1:9" x14ac:dyDescent="0.25">
      <c r="A7" s="5" t="s">
        <v>25</v>
      </c>
      <c r="B7" s="4" t="s">
        <v>26</v>
      </c>
      <c r="C7" s="5" t="s">
        <v>242</v>
      </c>
      <c r="D7" s="5" t="s">
        <v>242</v>
      </c>
      <c r="E7" s="5" t="s">
        <v>241</v>
      </c>
      <c r="F7" s="5" t="s">
        <v>238</v>
      </c>
      <c r="G7" s="5" t="s">
        <v>241</v>
      </c>
      <c r="H7" s="5" t="s">
        <v>243</v>
      </c>
      <c r="I7" s="4" t="e">
        <f>#VALUE!</f>
        <v>#VALUE!</v>
      </c>
    </row>
    <row r="8" spans="1:9" x14ac:dyDescent="0.25">
      <c r="A8" s="5" t="s">
        <v>27</v>
      </c>
      <c r="B8" s="4" t="s">
        <v>28</v>
      </c>
      <c r="C8" s="5" t="s">
        <v>235</v>
      </c>
      <c r="D8" s="5" t="s">
        <v>243</v>
      </c>
      <c r="E8" s="5" t="s">
        <v>237</v>
      </c>
      <c r="F8" s="5" t="s">
        <v>239</v>
      </c>
      <c r="G8" s="5" t="s">
        <v>243</v>
      </c>
      <c r="H8" s="5" t="s">
        <v>239</v>
      </c>
      <c r="I8" s="4" t="e">
        <f>#VALUE!</f>
        <v>#VALUE!</v>
      </c>
    </row>
    <row r="9" spans="1:9" x14ac:dyDescent="0.25">
      <c r="A9" s="5" t="s">
        <v>29</v>
      </c>
      <c r="B9" s="4" t="s">
        <v>30</v>
      </c>
      <c r="C9" s="5" t="s">
        <v>235</v>
      </c>
      <c r="D9" s="5" t="s">
        <v>235</v>
      </c>
      <c r="E9" s="5" t="s">
        <v>235</v>
      </c>
      <c r="F9" s="5" t="s">
        <v>244</v>
      </c>
      <c r="G9" s="5" t="s">
        <v>237</v>
      </c>
      <c r="H9" s="5" t="s">
        <v>239</v>
      </c>
      <c r="I9" s="4" t="e">
        <f>#VALUE!</f>
        <v>#VALUE!</v>
      </c>
    </row>
    <row r="10" spans="1:9" x14ac:dyDescent="0.25">
      <c r="A10" s="5" t="s">
        <v>31</v>
      </c>
      <c r="B10" s="4" t="s">
        <v>32</v>
      </c>
      <c r="C10" s="5" t="s">
        <v>236</v>
      </c>
      <c r="D10" s="5" t="s">
        <v>242</v>
      </c>
      <c r="E10" s="5" t="s">
        <v>241</v>
      </c>
      <c r="F10" s="5" t="s">
        <v>235</v>
      </c>
      <c r="G10" s="5" t="s">
        <v>243</v>
      </c>
      <c r="H10" s="5" t="s">
        <v>239</v>
      </c>
      <c r="I10" s="4" t="e">
        <f>#VALUE!</f>
        <v>#VALUE!</v>
      </c>
    </row>
    <row r="11" spans="1:9" x14ac:dyDescent="0.25">
      <c r="A11" s="5" t="s">
        <v>33</v>
      </c>
      <c r="B11" s="4" t="s">
        <v>34</v>
      </c>
      <c r="C11" s="5" t="s">
        <v>241</v>
      </c>
      <c r="D11" s="5" t="s">
        <v>241</v>
      </c>
      <c r="E11" s="5" t="s">
        <v>237</v>
      </c>
      <c r="F11" s="5" t="s">
        <v>238</v>
      </c>
      <c r="G11" s="5" t="s">
        <v>237</v>
      </c>
      <c r="H11" s="5" t="s">
        <v>243</v>
      </c>
      <c r="I11" s="4" t="e">
        <f>#VALUE!</f>
        <v>#VALUE!</v>
      </c>
    </row>
    <row r="12" spans="1:9" x14ac:dyDescent="0.25">
      <c r="A12" s="5" t="s">
        <v>35</v>
      </c>
      <c r="B12" s="4" t="s">
        <v>36</v>
      </c>
      <c r="C12" s="5" t="s">
        <v>242</v>
      </c>
      <c r="D12" s="5" t="s">
        <v>236</v>
      </c>
      <c r="E12" s="5" t="s">
        <v>237</v>
      </c>
      <c r="F12" s="5" t="s">
        <v>244</v>
      </c>
      <c r="G12" s="5" t="s">
        <v>238</v>
      </c>
      <c r="H12" s="5" t="s">
        <v>239</v>
      </c>
      <c r="I12" s="4" t="e">
        <f>#VALUE!</f>
        <v>#VALUE!</v>
      </c>
    </row>
    <row r="13" spans="1:9" x14ac:dyDescent="0.25">
      <c r="A13" s="5" t="s">
        <v>37</v>
      </c>
      <c r="B13" s="4" t="s">
        <v>38</v>
      </c>
      <c r="C13" s="5" t="s">
        <v>242</v>
      </c>
      <c r="D13" s="5" t="s">
        <v>241</v>
      </c>
      <c r="E13" s="5" t="s">
        <v>235</v>
      </c>
      <c r="F13" s="5" t="s">
        <v>243</v>
      </c>
      <c r="G13" s="5" t="s">
        <v>237</v>
      </c>
      <c r="H13" s="5" t="s">
        <v>239</v>
      </c>
      <c r="I13" s="4" t="e">
        <f>#VALUE!</f>
        <v>#VALUE!</v>
      </c>
    </row>
    <row r="14" spans="1:9" x14ac:dyDescent="0.25">
      <c r="A14" s="5" t="s">
        <v>39</v>
      </c>
      <c r="B14" s="4" t="s">
        <v>40</v>
      </c>
      <c r="C14" s="5" t="s">
        <v>236</v>
      </c>
      <c r="D14" s="5" t="s">
        <v>241</v>
      </c>
      <c r="E14" s="5" t="s">
        <v>235</v>
      </c>
      <c r="F14" s="5" t="s">
        <v>238</v>
      </c>
      <c r="G14" s="5" t="s">
        <v>235</v>
      </c>
      <c r="H14" s="5" t="s">
        <v>243</v>
      </c>
      <c r="I14" s="4" t="e">
        <f>#VALUE!</f>
        <v>#VALUE!</v>
      </c>
    </row>
    <row r="15" spans="1:9" x14ac:dyDescent="0.25">
      <c r="A15" s="5" t="s">
        <v>41</v>
      </c>
      <c r="B15" s="4" t="s">
        <v>42</v>
      </c>
      <c r="C15" s="5" t="s">
        <v>242</v>
      </c>
      <c r="D15" s="5" t="s">
        <v>235</v>
      </c>
      <c r="E15" s="5" t="s">
        <v>237</v>
      </c>
      <c r="F15" s="5" t="s">
        <v>237</v>
      </c>
      <c r="G15" s="5" t="s">
        <v>238</v>
      </c>
      <c r="H15" s="5" t="s">
        <v>239</v>
      </c>
      <c r="I15" s="4" t="e">
        <f>#VALUE!</f>
        <v>#VALUE!</v>
      </c>
    </row>
    <row r="16" spans="1:9" x14ac:dyDescent="0.25">
      <c r="A16" s="5" t="s">
        <v>43</v>
      </c>
      <c r="B16" s="4" t="s">
        <v>44</v>
      </c>
      <c r="C16" s="5" t="s">
        <v>244</v>
      </c>
      <c r="D16" s="5" t="s">
        <v>243</v>
      </c>
      <c r="E16" s="5" t="s">
        <v>239</v>
      </c>
      <c r="F16" s="5" t="s">
        <v>239</v>
      </c>
      <c r="G16" s="5" t="s">
        <v>243</v>
      </c>
      <c r="H16" s="5" t="s">
        <v>239</v>
      </c>
      <c r="I16" s="4" t="e">
        <f>#VALUE!</f>
        <v>#VALUE!</v>
      </c>
    </row>
    <row r="17" spans="1:9" x14ac:dyDescent="0.25">
      <c r="A17" s="5" t="s">
        <v>45</v>
      </c>
      <c r="B17" s="4" t="s">
        <v>245</v>
      </c>
      <c r="C17" s="5" t="s">
        <v>241</v>
      </c>
      <c r="D17" s="5" t="s">
        <v>241</v>
      </c>
      <c r="E17" s="5" t="s">
        <v>241</v>
      </c>
      <c r="F17" s="5" t="s">
        <v>238</v>
      </c>
      <c r="G17" s="5" t="s">
        <v>238</v>
      </c>
      <c r="H17" s="5" t="s">
        <v>239</v>
      </c>
      <c r="I17" s="4" t="e">
        <f>#VALUE!</f>
        <v>#VALUE!</v>
      </c>
    </row>
    <row r="18" spans="1:9" x14ac:dyDescent="0.25">
      <c r="A18" s="5" t="s">
        <v>47</v>
      </c>
      <c r="B18" s="4" t="s">
        <v>48</v>
      </c>
      <c r="C18" s="5" t="s">
        <v>242</v>
      </c>
      <c r="D18" s="5" t="s">
        <v>241</v>
      </c>
      <c r="E18" s="5" t="s">
        <v>235</v>
      </c>
      <c r="F18" s="5" t="s">
        <v>237</v>
      </c>
      <c r="G18" s="5" t="s">
        <v>237</v>
      </c>
      <c r="H18" s="5" t="s">
        <v>239</v>
      </c>
      <c r="I18" s="4" t="e">
        <f>#VALUE!</f>
        <v>#VALUE!</v>
      </c>
    </row>
    <row r="19" spans="1:9" x14ac:dyDescent="0.25">
      <c r="A19" s="5" t="s">
        <v>49</v>
      </c>
      <c r="B19" s="4" t="s">
        <v>50</v>
      </c>
      <c r="C19" s="5" t="s">
        <v>235</v>
      </c>
      <c r="D19" s="5" t="s">
        <v>237</v>
      </c>
      <c r="E19" s="5" t="s">
        <v>243</v>
      </c>
      <c r="F19" s="5" t="s">
        <v>239</v>
      </c>
      <c r="G19" s="5" t="s">
        <v>243</v>
      </c>
      <c r="H19" s="5" t="s">
        <v>244</v>
      </c>
      <c r="I19" s="4" t="e">
        <f>#VALUE!</f>
        <v>#VALUE!</v>
      </c>
    </row>
    <row r="20" spans="1:9" x14ac:dyDescent="0.25">
      <c r="A20" s="5" t="s">
        <v>51</v>
      </c>
      <c r="B20" s="4" t="s">
        <v>52</v>
      </c>
      <c r="C20" s="5" t="s">
        <v>242</v>
      </c>
      <c r="D20" s="5" t="s">
        <v>242</v>
      </c>
      <c r="E20" s="5" t="s">
        <v>236</v>
      </c>
      <c r="F20" s="5" t="s">
        <v>241</v>
      </c>
      <c r="G20" s="5" t="s">
        <v>236</v>
      </c>
      <c r="H20" s="5" t="s">
        <v>242</v>
      </c>
      <c r="I20" s="4" t="e">
        <f>#VALUE!</f>
        <v>#VALUE!</v>
      </c>
    </row>
    <row r="21" spans="1:9" ht="15.75" customHeight="1" x14ac:dyDescent="0.25">
      <c r="A21" s="5" t="s">
        <v>53</v>
      </c>
      <c r="B21" s="4" t="s">
        <v>54</v>
      </c>
      <c r="C21" s="5" t="s">
        <v>242</v>
      </c>
      <c r="D21" s="5" t="s">
        <v>241</v>
      </c>
      <c r="E21" s="5" t="s">
        <v>236</v>
      </c>
      <c r="F21" s="5" t="s">
        <v>244</v>
      </c>
      <c r="G21" s="5" t="s">
        <v>236</v>
      </c>
      <c r="H21" s="5" t="s">
        <v>236</v>
      </c>
      <c r="I21" s="4" t="e">
        <f>#VALUE!</f>
        <v>#VALUE!</v>
      </c>
    </row>
    <row r="22" spans="1:9" ht="15.75" customHeight="1" x14ac:dyDescent="0.25">
      <c r="A22" s="5" t="s">
        <v>55</v>
      </c>
      <c r="B22" s="4" t="s">
        <v>56</v>
      </c>
      <c r="C22" s="5" t="s">
        <v>238</v>
      </c>
      <c r="D22" s="5" t="s">
        <v>236</v>
      </c>
      <c r="E22" s="5" t="s">
        <v>243</v>
      </c>
      <c r="F22" s="5" t="s">
        <v>238</v>
      </c>
      <c r="G22" s="5" t="s">
        <v>243</v>
      </c>
      <c r="H22" s="5" t="s">
        <v>237</v>
      </c>
      <c r="I22" s="4" t="e">
        <f>#VALUE!</f>
        <v>#VALUE!</v>
      </c>
    </row>
    <row r="23" spans="1:9" ht="15.75" customHeight="1" x14ac:dyDescent="0.25">
      <c r="A23" s="5" t="s">
        <v>57</v>
      </c>
      <c r="B23" s="4" t="s">
        <v>58</v>
      </c>
      <c r="C23" s="5" t="s">
        <v>241</v>
      </c>
      <c r="D23" s="5" t="s">
        <v>237</v>
      </c>
      <c r="E23" s="5" t="s">
        <v>243</v>
      </c>
      <c r="F23" s="5" t="s">
        <v>244</v>
      </c>
      <c r="G23" s="5" t="s">
        <v>243</v>
      </c>
      <c r="H23" s="5" t="s">
        <v>244</v>
      </c>
      <c r="I23" s="4" t="e">
        <f>#VALUE!</f>
        <v>#VALUE!</v>
      </c>
    </row>
    <row r="24" spans="1:9" ht="15.75" customHeight="1" x14ac:dyDescent="0.25">
      <c r="A24" s="5" t="s">
        <v>59</v>
      </c>
      <c r="B24" s="4" t="s">
        <v>60</v>
      </c>
      <c r="C24" s="5" t="s">
        <v>242</v>
      </c>
      <c r="D24" s="5" t="s">
        <v>241</v>
      </c>
      <c r="E24" s="5" t="s">
        <v>235</v>
      </c>
      <c r="F24" s="5" t="s">
        <v>236</v>
      </c>
      <c r="G24" s="5" t="s">
        <v>236</v>
      </c>
      <c r="H24" s="5" t="s">
        <v>235</v>
      </c>
      <c r="I24" s="4" t="e">
        <f>#VALUE!</f>
        <v>#VALUE!</v>
      </c>
    </row>
    <row r="25" spans="1:9" ht="15.75" customHeight="1" x14ac:dyDescent="0.25">
      <c r="A25" s="5" t="s">
        <v>61</v>
      </c>
      <c r="B25" s="4" t="s">
        <v>62</v>
      </c>
      <c r="C25" s="5" t="s">
        <v>235</v>
      </c>
      <c r="D25" s="5" t="s">
        <v>236</v>
      </c>
      <c r="E25" s="5" t="s">
        <v>235</v>
      </c>
      <c r="F25" s="5" t="s">
        <v>244</v>
      </c>
      <c r="G25" s="5" t="s">
        <v>237</v>
      </c>
      <c r="H25" s="5" t="s">
        <v>239</v>
      </c>
      <c r="I25" s="4" t="e">
        <f>#VALUE!</f>
        <v>#VALUE!</v>
      </c>
    </row>
    <row r="26" spans="1:9" ht="15.75" customHeight="1" x14ac:dyDescent="0.25">
      <c r="A26" s="5" t="s">
        <v>63</v>
      </c>
      <c r="B26" s="4" t="s">
        <v>64</v>
      </c>
      <c r="C26" s="5" t="s">
        <v>244</v>
      </c>
      <c r="D26" s="5" t="s">
        <v>244</v>
      </c>
      <c r="E26" s="5" t="s">
        <v>239</v>
      </c>
      <c r="F26" s="5" t="s">
        <v>239</v>
      </c>
      <c r="G26" s="5" t="s">
        <v>252</v>
      </c>
      <c r="H26" s="5" t="s">
        <v>252</v>
      </c>
      <c r="I26" s="4" t="e">
        <f>#VALUE!</f>
        <v>#VALUE!</v>
      </c>
    </row>
    <row r="27" spans="1:9" ht="15.75" customHeight="1" x14ac:dyDescent="0.25">
      <c r="A27" s="5" t="s">
        <v>65</v>
      </c>
      <c r="B27" s="4" t="s">
        <v>66</v>
      </c>
      <c r="C27" s="5" t="s">
        <v>236</v>
      </c>
      <c r="D27" s="5" t="s">
        <v>236</v>
      </c>
      <c r="E27" s="5" t="s">
        <v>238</v>
      </c>
      <c r="F27" s="5" t="s">
        <v>237</v>
      </c>
      <c r="G27" s="5" t="s">
        <v>244</v>
      </c>
      <c r="H27" s="5" t="s">
        <v>238</v>
      </c>
      <c r="I27" s="4" t="e">
        <f>#VALUE!</f>
        <v>#VALUE!</v>
      </c>
    </row>
    <row r="28" spans="1:9" ht="15.75" customHeight="1" x14ac:dyDescent="0.25">
      <c r="A28" s="5" t="s">
        <v>67</v>
      </c>
      <c r="B28" s="4" t="s">
        <v>68</v>
      </c>
      <c r="C28" s="5" t="s">
        <v>242</v>
      </c>
      <c r="D28" s="5" t="s">
        <v>242</v>
      </c>
      <c r="E28" s="5" t="s">
        <v>241</v>
      </c>
      <c r="F28" s="5" t="s">
        <v>236</v>
      </c>
      <c r="G28" s="5" t="s">
        <v>241</v>
      </c>
      <c r="H28" s="5" t="s">
        <v>242</v>
      </c>
      <c r="I28" s="4" t="e">
        <f>#VALUE!</f>
        <v>#VALUE!</v>
      </c>
    </row>
    <row r="29" spans="1:9" ht="15.75" customHeight="1" x14ac:dyDescent="0.25">
      <c r="A29" s="5" t="s">
        <v>69</v>
      </c>
      <c r="B29" s="4" t="s">
        <v>70</v>
      </c>
      <c r="C29" s="5" t="s">
        <v>242</v>
      </c>
      <c r="D29" s="5" t="s">
        <v>242</v>
      </c>
      <c r="E29" s="5" t="s">
        <v>241</v>
      </c>
      <c r="F29" s="5" t="s">
        <v>237</v>
      </c>
      <c r="G29" s="5" t="s">
        <v>236</v>
      </c>
      <c r="H29" s="5" t="s">
        <v>236</v>
      </c>
      <c r="I29" s="4" t="e">
        <f>#VALUE!</f>
        <v>#VALUE!</v>
      </c>
    </row>
    <row r="30" spans="1:9" ht="15.75" customHeight="1" x14ac:dyDescent="0.25">
      <c r="A30" s="5" t="s">
        <v>71</v>
      </c>
      <c r="B30" s="4" t="s">
        <v>72</v>
      </c>
      <c r="C30" s="5" t="s">
        <v>242</v>
      </c>
      <c r="D30" s="5" t="s">
        <v>241</v>
      </c>
      <c r="E30" s="5" t="s">
        <v>235</v>
      </c>
      <c r="F30" s="5" t="s">
        <v>236</v>
      </c>
      <c r="G30" s="5" t="s">
        <v>235</v>
      </c>
      <c r="H30" s="5" t="s">
        <v>241</v>
      </c>
      <c r="I30" s="4" t="e">
        <f>#VALUE!</f>
        <v>#VALUE!</v>
      </c>
    </row>
    <row r="31" spans="1:9" ht="15.75" customHeight="1" x14ac:dyDescent="0.25">
      <c r="A31" s="5" t="s">
        <v>73</v>
      </c>
      <c r="B31" s="4" t="s">
        <v>74</v>
      </c>
      <c r="C31" s="5" t="s">
        <v>235</v>
      </c>
      <c r="D31" s="5" t="s">
        <v>235</v>
      </c>
      <c r="E31" s="5" t="s">
        <v>235</v>
      </c>
      <c r="F31" s="5" t="s">
        <v>238</v>
      </c>
      <c r="G31" s="5" t="s">
        <v>238</v>
      </c>
      <c r="H31" s="5" t="s">
        <v>244</v>
      </c>
      <c r="I31" s="4" t="e">
        <f>#VALUE!</f>
        <v>#VALUE!</v>
      </c>
    </row>
    <row r="32" spans="1:9" ht="15.75" customHeight="1" x14ac:dyDescent="0.25">
      <c r="A32" s="5" t="s">
        <v>75</v>
      </c>
      <c r="B32" s="4" t="s">
        <v>76</v>
      </c>
      <c r="C32" s="5" t="s">
        <v>241</v>
      </c>
      <c r="D32" s="5" t="s">
        <v>236</v>
      </c>
      <c r="E32" s="5" t="s">
        <v>243</v>
      </c>
      <c r="F32" s="5" t="s">
        <v>237</v>
      </c>
      <c r="G32" s="5" t="s">
        <v>237</v>
      </c>
      <c r="H32" s="5" t="s">
        <v>237</v>
      </c>
      <c r="I32" s="4" t="e">
        <f>#VALUE!</f>
        <v>#VALUE!</v>
      </c>
    </row>
    <row r="33" spans="1:9" ht="15.75" customHeight="1" x14ac:dyDescent="0.25">
      <c r="A33" s="5" t="s">
        <v>77</v>
      </c>
      <c r="B33" s="4" t="s">
        <v>78</v>
      </c>
      <c r="C33" s="5" t="s">
        <v>242</v>
      </c>
      <c r="D33" s="5" t="s">
        <v>236</v>
      </c>
      <c r="E33" s="5" t="s">
        <v>237</v>
      </c>
      <c r="F33" s="5" t="s">
        <v>235</v>
      </c>
      <c r="G33" s="5" t="s">
        <v>236</v>
      </c>
      <c r="H33" s="5" t="s">
        <v>237</v>
      </c>
      <c r="I33" s="4" t="e">
        <f>#VALUE!</f>
        <v>#VALUE!</v>
      </c>
    </row>
    <row r="34" spans="1:9" ht="15.75" customHeight="1" x14ac:dyDescent="0.25">
      <c r="A34" s="5" t="s">
        <v>79</v>
      </c>
      <c r="B34" s="4" t="s">
        <v>80</v>
      </c>
      <c r="C34" s="5" t="s">
        <v>235</v>
      </c>
      <c r="D34" s="5" t="s">
        <v>235</v>
      </c>
      <c r="E34" s="5" t="s">
        <v>235</v>
      </c>
      <c r="F34" s="5" t="s">
        <v>239</v>
      </c>
      <c r="G34" s="5" t="s">
        <v>237</v>
      </c>
      <c r="H34" s="5" t="s">
        <v>244</v>
      </c>
      <c r="I34" s="4" t="e">
        <f>#VALUE!</f>
        <v>#VALUE!</v>
      </c>
    </row>
    <row r="35" spans="1:9" ht="15.75" customHeight="1" x14ac:dyDescent="0.25">
      <c r="A35" s="5" t="s">
        <v>81</v>
      </c>
      <c r="B35" s="4" t="s">
        <v>82</v>
      </c>
      <c r="C35" s="5" t="s">
        <v>241</v>
      </c>
      <c r="D35" s="5" t="s">
        <v>236</v>
      </c>
      <c r="E35" s="5" t="s">
        <v>242</v>
      </c>
      <c r="F35" s="5" t="s">
        <v>238</v>
      </c>
      <c r="G35" s="5" t="s">
        <v>235</v>
      </c>
      <c r="H35" s="5" t="s">
        <v>242</v>
      </c>
      <c r="I35" s="4" t="e">
        <f>#VALUE!</f>
        <v>#VALUE!</v>
      </c>
    </row>
    <row r="36" spans="1:9" ht="15.75" customHeight="1" x14ac:dyDescent="0.25">
      <c r="A36" s="5" t="s">
        <v>83</v>
      </c>
      <c r="B36" s="4" t="s">
        <v>84</v>
      </c>
      <c r="C36" s="5" t="s">
        <v>236</v>
      </c>
      <c r="D36" s="5" t="s">
        <v>235</v>
      </c>
      <c r="E36" s="5" t="s">
        <v>236</v>
      </c>
      <c r="F36" s="5" t="s">
        <v>244</v>
      </c>
      <c r="G36" s="5" t="s">
        <v>235</v>
      </c>
      <c r="H36" s="5" t="s">
        <v>243</v>
      </c>
      <c r="I36" s="4" t="e">
        <f>#VALUE!</f>
        <v>#VALUE!</v>
      </c>
    </row>
    <row r="37" spans="1:9" ht="15.75" customHeight="1" x14ac:dyDescent="0.25">
      <c r="A37" s="5" t="s">
        <v>85</v>
      </c>
      <c r="B37" s="4" t="s">
        <v>86</v>
      </c>
      <c r="C37" s="5" t="s">
        <v>242</v>
      </c>
      <c r="D37" s="5" t="s">
        <v>236</v>
      </c>
      <c r="E37" s="5" t="s">
        <v>236</v>
      </c>
      <c r="F37" s="5" t="s">
        <v>237</v>
      </c>
      <c r="G37" s="5" t="s">
        <v>237</v>
      </c>
      <c r="H37" s="5" t="s">
        <v>235</v>
      </c>
      <c r="I37" s="4" t="e">
        <f>#VALUE!</f>
        <v>#VALUE!</v>
      </c>
    </row>
    <row r="38" spans="1:9" ht="15.75" customHeight="1" x14ac:dyDescent="0.25">
      <c r="A38" s="5" t="s">
        <v>87</v>
      </c>
      <c r="B38" s="4" t="s">
        <v>88</v>
      </c>
      <c r="C38" s="5" t="s">
        <v>242</v>
      </c>
      <c r="D38" s="5" t="s">
        <v>236</v>
      </c>
      <c r="E38" s="5" t="s">
        <v>235</v>
      </c>
      <c r="F38" s="5" t="s">
        <v>244</v>
      </c>
      <c r="G38" s="5" t="s">
        <v>235</v>
      </c>
      <c r="H38" s="5" t="s">
        <v>241</v>
      </c>
      <c r="I38" s="4" t="e">
        <f>#VALUE!</f>
        <v>#VALUE!</v>
      </c>
    </row>
    <row r="39" spans="1:9" ht="15.75" customHeight="1" x14ac:dyDescent="0.25">
      <c r="A39" s="5" t="s">
        <v>89</v>
      </c>
      <c r="B39" s="4" t="s">
        <v>90</v>
      </c>
      <c r="C39" s="5" t="s">
        <v>242</v>
      </c>
      <c r="D39" s="5" t="s">
        <v>241</v>
      </c>
      <c r="E39" s="5" t="s">
        <v>235</v>
      </c>
      <c r="F39" s="5" t="s">
        <v>235</v>
      </c>
      <c r="G39" s="5" t="s">
        <v>236</v>
      </c>
      <c r="H39" s="5" t="s">
        <v>239</v>
      </c>
      <c r="I39" s="4" t="e">
        <f>#VALUE!</f>
        <v>#VALUE!</v>
      </c>
    </row>
    <row r="40" spans="1:9" ht="15.75" customHeight="1" x14ac:dyDescent="0.25">
      <c r="A40" s="5" t="s">
        <v>91</v>
      </c>
      <c r="B40" s="4" t="s">
        <v>92</v>
      </c>
      <c r="C40" s="5" t="s">
        <v>241</v>
      </c>
      <c r="D40" s="5" t="s">
        <v>236</v>
      </c>
      <c r="E40" s="5" t="s">
        <v>241</v>
      </c>
      <c r="F40" s="5" t="s">
        <v>235</v>
      </c>
      <c r="G40" s="5" t="s">
        <v>235</v>
      </c>
      <c r="H40" s="5" t="s">
        <v>242</v>
      </c>
      <c r="I40" s="4" t="e">
        <f>#VALUE!</f>
        <v>#VALUE!</v>
      </c>
    </row>
    <row r="41" spans="1:9" ht="15.75" customHeight="1" x14ac:dyDescent="0.25">
      <c r="A41" s="5" t="s">
        <v>93</v>
      </c>
      <c r="B41" s="4" t="s">
        <v>94</v>
      </c>
      <c r="C41" s="5" t="s">
        <v>241</v>
      </c>
      <c r="D41" s="5" t="s">
        <v>241</v>
      </c>
      <c r="E41" s="5" t="s">
        <v>238</v>
      </c>
      <c r="F41" s="5" t="s">
        <v>236</v>
      </c>
      <c r="G41" s="5" t="s">
        <v>236</v>
      </c>
      <c r="H41" s="5" t="s">
        <v>235</v>
      </c>
      <c r="I41" s="4" t="e">
        <f>#VALUE!</f>
        <v>#VALUE!</v>
      </c>
    </row>
    <row r="42" spans="1:9" ht="15.75" customHeight="1" x14ac:dyDescent="0.25">
      <c r="A42" s="5" t="s">
        <v>95</v>
      </c>
      <c r="B42" s="4" t="s">
        <v>96</v>
      </c>
      <c r="C42" s="5" t="s">
        <v>242</v>
      </c>
      <c r="D42" s="5" t="s">
        <v>242</v>
      </c>
      <c r="E42" s="5" t="s">
        <v>236</v>
      </c>
      <c r="F42" s="5" t="s">
        <v>238</v>
      </c>
      <c r="G42" s="5" t="s">
        <v>238</v>
      </c>
      <c r="H42" s="5" t="s">
        <v>236</v>
      </c>
      <c r="I42" s="4" t="e">
        <f>#VALUE!</f>
        <v>#VALUE!</v>
      </c>
    </row>
    <row r="43" spans="1:9" ht="15.75" customHeight="1" x14ac:dyDescent="0.25">
      <c r="A43" s="5" t="s">
        <v>97</v>
      </c>
      <c r="B43" s="4" t="s">
        <v>98</v>
      </c>
      <c r="C43" s="5" t="s">
        <v>242</v>
      </c>
      <c r="D43" s="5" t="s">
        <v>242</v>
      </c>
      <c r="E43" s="5" t="s">
        <v>237</v>
      </c>
      <c r="F43" s="5" t="s">
        <v>237</v>
      </c>
      <c r="G43" s="5" t="s">
        <v>235</v>
      </c>
      <c r="H43" s="5" t="s">
        <v>242</v>
      </c>
      <c r="I43" s="4" t="e">
        <f>#VALUE!</f>
        <v>#VALUE!</v>
      </c>
    </row>
    <row r="44" spans="1:9" ht="15.75" customHeight="1" x14ac:dyDescent="0.25">
      <c r="A44" s="5" t="s">
        <v>99</v>
      </c>
      <c r="B44" s="4" t="s">
        <v>100</v>
      </c>
      <c r="C44" s="5" t="s">
        <v>242</v>
      </c>
      <c r="D44" s="5" t="s">
        <v>242</v>
      </c>
      <c r="E44" s="5" t="s">
        <v>242</v>
      </c>
      <c r="F44" s="5" t="s">
        <v>235</v>
      </c>
      <c r="G44" s="5" t="s">
        <v>235</v>
      </c>
      <c r="H44" s="5" t="s">
        <v>236</v>
      </c>
      <c r="I44" s="4" t="e">
        <f>#VALUE!</f>
        <v>#VALUE!</v>
      </c>
    </row>
    <row r="45" spans="1:9" ht="15.75" customHeight="1" x14ac:dyDescent="0.25">
      <c r="A45" s="5" t="s">
        <v>101</v>
      </c>
      <c r="B45" s="4" t="s">
        <v>102</v>
      </c>
      <c r="C45" s="5" t="s">
        <v>242</v>
      </c>
      <c r="D45" s="5" t="s">
        <v>241</v>
      </c>
      <c r="E45" s="5" t="s">
        <v>236</v>
      </c>
      <c r="F45" s="5" t="s">
        <v>236</v>
      </c>
      <c r="G45" s="5" t="s">
        <v>235</v>
      </c>
      <c r="H45" s="5" t="s">
        <v>238</v>
      </c>
      <c r="I45" s="4" t="e">
        <f>#VALUE!</f>
        <v>#VALUE!</v>
      </c>
    </row>
    <row r="46" spans="1:9" ht="15.75" customHeight="1" x14ac:dyDescent="0.25">
      <c r="A46" s="5" t="s">
        <v>103</v>
      </c>
      <c r="B46" s="4" t="s">
        <v>104</v>
      </c>
      <c r="C46" s="5" t="s">
        <v>242</v>
      </c>
      <c r="D46" s="5" t="s">
        <v>241</v>
      </c>
      <c r="E46" s="5" t="s">
        <v>236</v>
      </c>
      <c r="F46" s="5" t="s">
        <v>237</v>
      </c>
      <c r="G46" s="5" t="s">
        <v>235</v>
      </c>
      <c r="H46" s="5" t="s">
        <v>238</v>
      </c>
      <c r="I46" s="4" t="e">
        <f>#VALUE!</f>
        <v>#VALUE!</v>
      </c>
    </row>
    <row r="47" spans="1:9" ht="15.75" customHeight="1" x14ac:dyDescent="0.25">
      <c r="A47" s="5" t="s">
        <v>105</v>
      </c>
      <c r="B47" s="4" t="s">
        <v>106</v>
      </c>
      <c r="C47" s="5" t="s">
        <v>237</v>
      </c>
      <c r="D47" s="5" t="s">
        <v>238</v>
      </c>
      <c r="E47" s="5" t="s">
        <v>239</v>
      </c>
      <c r="F47" s="5" t="s">
        <v>243</v>
      </c>
      <c r="G47" s="5" t="s">
        <v>243</v>
      </c>
      <c r="H47" s="5" t="s">
        <v>239</v>
      </c>
      <c r="I47" s="4" t="e">
        <f>#VALUE!</f>
        <v>#VALUE!</v>
      </c>
    </row>
    <row r="48" spans="1:9" ht="15.75" customHeight="1" x14ac:dyDescent="0.25">
      <c r="A48" s="5" t="s">
        <v>107</v>
      </c>
      <c r="B48" s="4" t="s">
        <v>108</v>
      </c>
      <c r="C48" s="5" t="s">
        <v>242</v>
      </c>
      <c r="D48" s="5" t="s">
        <v>236</v>
      </c>
      <c r="E48" s="5" t="s">
        <v>236</v>
      </c>
      <c r="F48" s="5" t="s">
        <v>237</v>
      </c>
      <c r="G48" s="5" t="s">
        <v>235</v>
      </c>
      <c r="H48" s="5" t="s">
        <v>241</v>
      </c>
      <c r="I48" s="4" t="e">
        <f>#VALUE!</f>
        <v>#VALUE!</v>
      </c>
    </row>
    <row r="49" spans="1:9" ht="15.75" customHeight="1" x14ac:dyDescent="0.25">
      <c r="A49" s="5" t="s">
        <v>109</v>
      </c>
      <c r="B49" s="4" t="s">
        <v>110</v>
      </c>
      <c r="C49" s="5" t="s">
        <v>242</v>
      </c>
      <c r="D49" s="5" t="s">
        <v>235</v>
      </c>
      <c r="E49" s="5" t="s">
        <v>236</v>
      </c>
      <c r="F49" s="5" t="s">
        <v>235</v>
      </c>
      <c r="G49" s="5" t="s">
        <v>235</v>
      </c>
      <c r="H49" s="5" t="s">
        <v>237</v>
      </c>
      <c r="I49" s="4" t="e">
        <f>#VALUE!</f>
        <v>#VALUE!</v>
      </c>
    </row>
    <row r="50" spans="1:9" ht="15.75" customHeight="1" x14ac:dyDescent="0.25">
      <c r="A50" s="5" t="s">
        <v>111</v>
      </c>
      <c r="B50" s="4" t="s">
        <v>112</v>
      </c>
      <c r="C50" s="5" t="s">
        <v>242</v>
      </c>
      <c r="D50" s="5" t="s">
        <v>242</v>
      </c>
      <c r="E50" s="5" t="s">
        <v>241</v>
      </c>
      <c r="F50" s="5" t="s">
        <v>237</v>
      </c>
      <c r="G50" s="5" t="s">
        <v>236</v>
      </c>
      <c r="H50" s="5" t="s">
        <v>235</v>
      </c>
      <c r="I50" s="4" t="e">
        <f>#VALUE!</f>
        <v>#VALUE!</v>
      </c>
    </row>
    <row r="51" spans="1:9" ht="15.75" customHeight="1" x14ac:dyDescent="0.25">
      <c r="A51" s="5" t="s">
        <v>113</v>
      </c>
      <c r="B51" s="4" t="s">
        <v>114</v>
      </c>
      <c r="C51" s="5" t="s">
        <v>241</v>
      </c>
      <c r="D51" s="5" t="s">
        <v>236</v>
      </c>
      <c r="E51" s="5" t="s">
        <v>235</v>
      </c>
      <c r="F51" s="5" t="s">
        <v>238</v>
      </c>
      <c r="G51" s="5" t="s">
        <v>235</v>
      </c>
      <c r="H51" s="5" t="s">
        <v>241</v>
      </c>
      <c r="I51" s="4" t="e">
        <f>#VALUE!</f>
        <v>#VALUE!</v>
      </c>
    </row>
    <row r="52" spans="1:9" ht="15.75" customHeight="1" x14ac:dyDescent="0.25">
      <c r="A52" s="5" t="s">
        <v>115</v>
      </c>
      <c r="B52" s="4" t="s">
        <v>116</v>
      </c>
      <c r="C52" s="5" t="s">
        <v>236</v>
      </c>
      <c r="D52" s="5" t="s">
        <v>242</v>
      </c>
      <c r="E52" s="5" t="s">
        <v>236</v>
      </c>
      <c r="F52" s="5" t="s">
        <v>244</v>
      </c>
      <c r="G52" s="5" t="s">
        <v>236</v>
      </c>
      <c r="H52" s="5" t="s">
        <v>242</v>
      </c>
      <c r="I52" s="4" t="e">
        <f>#VALUE!</f>
        <v>#VALUE!</v>
      </c>
    </row>
    <row r="53" spans="1:9" ht="15.75" customHeight="1" x14ac:dyDescent="0.25">
      <c r="A53" s="5" t="s">
        <v>117</v>
      </c>
      <c r="B53" s="4" t="s">
        <v>118</v>
      </c>
      <c r="C53" s="5" t="s">
        <v>242</v>
      </c>
      <c r="D53" s="5" t="s">
        <v>241</v>
      </c>
      <c r="E53" s="5" t="s">
        <v>236</v>
      </c>
      <c r="F53" s="5" t="s">
        <v>243</v>
      </c>
      <c r="G53" s="5" t="s">
        <v>235</v>
      </c>
      <c r="H53" s="5" t="s">
        <v>235</v>
      </c>
      <c r="I53" s="4" t="e">
        <f>#VALUE!</f>
        <v>#VALUE!</v>
      </c>
    </row>
    <row r="54" spans="1:9" ht="15.75" customHeight="1" x14ac:dyDescent="0.25">
      <c r="A54" s="5" t="s">
        <v>119</v>
      </c>
      <c r="B54" s="4" t="s">
        <v>120</v>
      </c>
      <c r="C54" s="5" t="s">
        <v>241</v>
      </c>
      <c r="D54" s="5" t="s">
        <v>236</v>
      </c>
      <c r="E54" s="5" t="s">
        <v>237</v>
      </c>
      <c r="F54" s="5" t="s">
        <v>243</v>
      </c>
      <c r="G54" s="5" t="s">
        <v>235</v>
      </c>
      <c r="H54" s="5" t="s">
        <v>244</v>
      </c>
      <c r="I54" s="4" t="e">
        <f>#VALUE!</f>
        <v>#VALUE!</v>
      </c>
    </row>
    <row r="55" spans="1:9" ht="15.75" customHeight="1" x14ac:dyDescent="0.25">
      <c r="A55" s="5" t="s">
        <v>121</v>
      </c>
      <c r="B55" s="4" t="s">
        <v>122</v>
      </c>
      <c r="C55" s="5" t="s">
        <v>235</v>
      </c>
      <c r="D55" s="5" t="s">
        <v>236</v>
      </c>
      <c r="E55" s="5" t="s">
        <v>238</v>
      </c>
      <c r="F55" s="5" t="s">
        <v>239</v>
      </c>
      <c r="G55" s="5" t="s">
        <v>239</v>
      </c>
      <c r="H55" s="5" t="s">
        <v>244</v>
      </c>
      <c r="I55" s="4" t="e">
        <f>#VALUE!</f>
        <v>#VALUE!</v>
      </c>
    </row>
    <row r="56" spans="1:9" ht="15.75" customHeight="1" x14ac:dyDescent="0.25">
      <c r="A56" s="5" t="s">
        <v>123</v>
      </c>
      <c r="B56" s="4" t="s">
        <v>124</v>
      </c>
      <c r="C56" s="5" t="s">
        <v>242</v>
      </c>
      <c r="D56" s="5" t="s">
        <v>241</v>
      </c>
      <c r="E56" s="5" t="s">
        <v>235</v>
      </c>
      <c r="F56" s="5" t="s">
        <v>238</v>
      </c>
      <c r="G56" s="5" t="s">
        <v>236</v>
      </c>
      <c r="H56" s="5" t="s">
        <v>238</v>
      </c>
      <c r="I56" s="4" t="e">
        <f>#VALUE!</f>
        <v>#VALUE!</v>
      </c>
    </row>
    <row r="57" spans="1:9" ht="15.75" customHeight="1" x14ac:dyDescent="0.25">
      <c r="A57" s="5" t="s">
        <v>125</v>
      </c>
      <c r="B57" s="4" t="s">
        <v>126</v>
      </c>
      <c r="C57" s="5" t="s">
        <v>235</v>
      </c>
      <c r="D57" s="5" t="s">
        <v>241</v>
      </c>
      <c r="E57" s="5" t="s">
        <v>241</v>
      </c>
      <c r="F57" s="5" t="s">
        <v>238</v>
      </c>
      <c r="G57" s="5" t="s">
        <v>241</v>
      </c>
      <c r="H57" s="5" t="s">
        <v>236</v>
      </c>
      <c r="I57" s="4" t="e">
        <f>#VALUE!</f>
        <v>#VALUE!</v>
      </c>
    </row>
    <row r="58" spans="1:9" ht="15.75" customHeight="1" x14ac:dyDescent="0.25">
      <c r="A58" s="5" t="s">
        <v>127</v>
      </c>
      <c r="B58" s="4" t="s">
        <v>128</v>
      </c>
      <c r="C58" s="5" t="s">
        <v>242</v>
      </c>
      <c r="D58" s="5" t="s">
        <v>242</v>
      </c>
      <c r="E58" s="5" t="s">
        <v>241</v>
      </c>
      <c r="F58" s="5" t="s">
        <v>238</v>
      </c>
      <c r="G58" s="5" t="s">
        <v>235</v>
      </c>
      <c r="H58" s="5" t="s">
        <v>237</v>
      </c>
      <c r="I58" s="4" t="e">
        <f>#VALUE!</f>
        <v>#VALUE!</v>
      </c>
    </row>
    <row r="59" spans="1:9" ht="15.75" customHeight="1" x14ac:dyDescent="0.25">
      <c r="A59" s="5" t="s">
        <v>129</v>
      </c>
      <c r="B59" s="4" t="s">
        <v>130</v>
      </c>
      <c r="C59" s="5" t="s">
        <v>235</v>
      </c>
      <c r="D59" s="5" t="s">
        <v>238</v>
      </c>
      <c r="E59" s="5" t="s">
        <v>237</v>
      </c>
      <c r="F59" s="5" t="s">
        <v>243</v>
      </c>
      <c r="G59" s="5" t="s">
        <v>237</v>
      </c>
      <c r="H59" s="5" t="s">
        <v>239</v>
      </c>
      <c r="I59" s="4" t="e">
        <f>#VALUE!</f>
        <v>#VALUE!</v>
      </c>
    </row>
    <row r="60" spans="1:9" ht="15.75" customHeight="1" x14ac:dyDescent="0.25">
      <c r="A60" s="5" t="s">
        <v>131</v>
      </c>
      <c r="B60" s="4" t="s">
        <v>132</v>
      </c>
      <c r="C60" s="5" t="s">
        <v>236</v>
      </c>
      <c r="D60" s="5" t="s">
        <v>237</v>
      </c>
      <c r="E60" s="5" t="s">
        <v>235</v>
      </c>
      <c r="F60" s="5" t="s">
        <v>237</v>
      </c>
      <c r="G60" s="5" t="s">
        <v>238</v>
      </c>
      <c r="H60" s="5" t="s">
        <v>239</v>
      </c>
      <c r="I60" s="4" t="e">
        <f>#VALUE!</f>
        <v>#VALUE!</v>
      </c>
    </row>
    <row r="61" spans="1:9" ht="15.75" customHeight="1" x14ac:dyDescent="0.25">
      <c r="A61" s="5" t="s">
        <v>133</v>
      </c>
      <c r="B61" s="4" t="s">
        <v>134</v>
      </c>
      <c r="C61" s="5" t="s">
        <v>237</v>
      </c>
      <c r="D61" s="5" t="s">
        <v>236</v>
      </c>
      <c r="E61" s="5" t="s">
        <v>238</v>
      </c>
      <c r="F61" s="5" t="s">
        <v>243</v>
      </c>
      <c r="G61" s="5" t="s">
        <v>243</v>
      </c>
      <c r="H61" s="5" t="s">
        <v>236</v>
      </c>
      <c r="I61" s="4" t="e">
        <f>#VALUE!</f>
        <v>#VALUE!</v>
      </c>
    </row>
    <row r="62" spans="1:9" ht="15.75" customHeight="1" x14ac:dyDescent="0.25">
      <c r="A62" s="5" t="s">
        <v>135</v>
      </c>
      <c r="B62" s="4" t="s">
        <v>136</v>
      </c>
      <c r="C62" s="5" t="s">
        <v>236</v>
      </c>
      <c r="D62" s="5" t="s">
        <v>235</v>
      </c>
      <c r="E62" s="5" t="s">
        <v>238</v>
      </c>
      <c r="F62" s="5" t="s">
        <v>244</v>
      </c>
      <c r="G62" s="5" t="s">
        <v>238</v>
      </c>
      <c r="H62" s="5" t="s">
        <v>239</v>
      </c>
      <c r="I62" s="4" t="e">
        <f>#VALUE!</f>
        <v>#VALUE!</v>
      </c>
    </row>
    <row r="63" spans="1:9" ht="15.75" customHeight="1" x14ac:dyDescent="0.25">
      <c r="A63" s="5" t="s">
        <v>137</v>
      </c>
      <c r="B63" s="4" t="s">
        <v>138</v>
      </c>
      <c r="C63" s="5" t="s">
        <v>237</v>
      </c>
      <c r="D63" s="5" t="s">
        <v>244</v>
      </c>
      <c r="E63" s="5" t="s">
        <v>238</v>
      </c>
      <c r="F63" s="5" t="s">
        <v>244</v>
      </c>
      <c r="G63" s="5" t="s">
        <v>243</v>
      </c>
      <c r="H63" s="5" t="s">
        <v>252</v>
      </c>
      <c r="I63" s="4" t="e">
        <f>#VALUE!</f>
        <v>#VALUE!</v>
      </c>
    </row>
    <row r="64" spans="1:9" ht="15.75" customHeight="1" x14ac:dyDescent="0.25">
      <c r="A64" s="5" t="s">
        <v>139</v>
      </c>
      <c r="B64" s="4" t="s">
        <v>140</v>
      </c>
      <c r="C64" s="5" t="s">
        <v>236</v>
      </c>
      <c r="D64" s="5" t="s">
        <v>235</v>
      </c>
      <c r="E64" s="5" t="s">
        <v>236</v>
      </c>
      <c r="F64" s="5" t="s">
        <v>244</v>
      </c>
      <c r="G64" s="5" t="s">
        <v>242</v>
      </c>
      <c r="H64" s="5" t="s">
        <v>244</v>
      </c>
      <c r="I64" s="4" t="e">
        <f>#VALUE!</f>
        <v>#VALUE!</v>
      </c>
    </row>
    <row r="65" spans="1:9" ht="15.75" customHeight="1" x14ac:dyDescent="0.25">
      <c r="A65" s="5" t="s">
        <v>141</v>
      </c>
      <c r="B65" s="4" t="s">
        <v>142</v>
      </c>
      <c r="C65" s="5" t="s">
        <v>237</v>
      </c>
      <c r="D65" s="5" t="s">
        <v>236</v>
      </c>
      <c r="E65" s="5" t="s">
        <v>243</v>
      </c>
      <c r="F65" s="5" t="s">
        <v>239</v>
      </c>
      <c r="G65" s="5" t="s">
        <v>237</v>
      </c>
      <c r="H65" s="5" t="s">
        <v>244</v>
      </c>
      <c r="I65" s="4" t="e">
        <f>#VALUE!</f>
        <v>#VALUE!</v>
      </c>
    </row>
    <row r="66" spans="1:9" ht="15.75" customHeight="1" x14ac:dyDescent="0.25">
      <c r="A66" s="5" t="s">
        <v>143</v>
      </c>
      <c r="B66" s="4" t="s">
        <v>144</v>
      </c>
      <c r="C66" s="5" t="s">
        <v>235</v>
      </c>
      <c r="D66" s="5" t="s">
        <v>236</v>
      </c>
      <c r="E66" s="5" t="s">
        <v>236</v>
      </c>
      <c r="F66" s="5" t="s">
        <v>244</v>
      </c>
      <c r="G66" s="5" t="s">
        <v>235</v>
      </c>
      <c r="H66" s="5" t="s">
        <v>239</v>
      </c>
      <c r="I66" s="4" t="e">
        <f>#VALUE!</f>
        <v>#VALUE!</v>
      </c>
    </row>
    <row r="67" spans="1:9" ht="15.75" customHeight="1" x14ac:dyDescent="0.25">
      <c r="A67" s="5" t="s">
        <v>145</v>
      </c>
      <c r="B67" s="4" t="s">
        <v>146</v>
      </c>
      <c r="C67" s="5" t="s">
        <v>241</v>
      </c>
      <c r="D67" s="5" t="s">
        <v>237</v>
      </c>
      <c r="E67" s="5" t="s">
        <v>238</v>
      </c>
      <c r="F67" s="5" t="s">
        <v>243</v>
      </c>
      <c r="G67" s="5" t="s">
        <v>236</v>
      </c>
      <c r="H67" s="5" t="s">
        <v>236</v>
      </c>
      <c r="I67" s="4" t="e">
        <f>#VALUE!</f>
        <v>#VALUE!</v>
      </c>
    </row>
    <row r="68" spans="1:9" ht="15.75" customHeight="1" x14ac:dyDescent="0.25">
      <c r="A68" s="5" t="s">
        <v>147</v>
      </c>
      <c r="B68" s="4" t="s">
        <v>148</v>
      </c>
      <c r="C68" s="5" t="s">
        <v>242</v>
      </c>
      <c r="D68" s="5" t="s">
        <v>241</v>
      </c>
      <c r="E68" s="5" t="s">
        <v>235</v>
      </c>
      <c r="F68" s="5" t="s">
        <v>238</v>
      </c>
      <c r="G68" s="5" t="s">
        <v>237</v>
      </c>
      <c r="H68" s="5" t="s">
        <v>244</v>
      </c>
      <c r="I68" s="4" t="e">
        <f>#VALUE!</f>
        <v>#VALUE!</v>
      </c>
    </row>
    <row r="69" spans="1:9" ht="15.75" customHeight="1" x14ac:dyDescent="0.25">
      <c r="A69" s="5" t="s">
        <v>149</v>
      </c>
      <c r="B69" s="4" t="s">
        <v>150</v>
      </c>
      <c r="C69" s="5" t="s">
        <v>244</v>
      </c>
      <c r="D69" s="5" t="s">
        <v>244</v>
      </c>
      <c r="E69" s="5" t="s">
        <v>244</v>
      </c>
      <c r="F69" s="5" t="s">
        <v>244</v>
      </c>
      <c r="G69" s="5" t="s">
        <v>244</v>
      </c>
      <c r="H69" s="5" t="s">
        <v>244</v>
      </c>
      <c r="I69" s="4" t="e">
        <f>#VALUE!</f>
        <v>#VALUE!</v>
      </c>
    </row>
    <row r="70" spans="1:9" ht="15.75" customHeight="1" x14ac:dyDescent="0.25">
      <c r="A70" s="5" t="s">
        <v>151</v>
      </c>
      <c r="B70" s="4" t="s">
        <v>152</v>
      </c>
      <c r="C70" s="5" t="s">
        <v>237</v>
      </c>
      <c r="D70" s="5" t="s">
        <v>238</v>
      </c>
      <c r="E70" s="5" t="s">
        <v>235</v>
      </c>
      <c r="F70" s="5" t="s">
        <v>239</v>
      </c>
      <c r="G70" s="5" t="s">
        <v>237</v>
      </c>
      <c r="H70" s="5" t="s">
        <v>239</v>
      </c>
      <c r="I70" s="4" t="e">
        <f>#VALUE!</f>
        <v>#VALUE!</v>
      </c>
    </row>
    <row r="71" spans="1:9" ht="15.75" customHeight="1" x14ac:dyDescent="0.25">
      <c r="A71" s="5" t="s">
        <v>153</v>
      </c>
      <c r="B71" s="4" t="s">
        <v>154</v>
      </c>
      <c r="C71" s="5" t="s">
        <v>238</v>
      </c>
      <c r="D71" s="5" t="s">
        <v>237</v>
      </c>
      <c r="E71" s="5" t="s">
        <v>243</v>
      </c>
      <c r="F71" s="5" t="s">
        <v>239</v>
      </c>
      <c r="G71" s="5" t="s">
        <v>237</v>
      </c>
      <c r="H71" s="5" t="s">
        <v>239</v>
      </c>
      <c r="I71" s="4" t="e">
        <f>#VALUE!</f>
        <v>#VALUE!</v>
      </c>
    </row>
    <row r="72" spans="1:9" ht="15.75" customHeight="1" x14ac:dyDescent="0.25">
      <c r="A72" s="5" t="s">
        <v>155</v>
      </c>
      <c r="B72" s="4" t="s">
        <v>156</v>
      </c>
      <c r="C72" s="5" t="s">
        <v>241</v>
      </c>
      <c r="D72" s="5" t="s">
        <v>236</v>
      </c>
      <c r="E72" s="5" t="s">
        <v>236</v>
      </c>
      <c r="F72" s="5" t="s">
        <v>238</v>
      </c>
      <c r="G72" s="5" t="s">
        <v>237</v>
      </c>
      <c r="H72" s="5" t="s">
        <v>239</v>
      </c>
      <c r="I72" s="4" t="e">
        <f>#VALUE!</f>
        <v>#VALUE!</v>
      </c>
    </row>
    <row r="73" spans="1:9" ht="15.75" customHeight="1" x14ac:dyDescent="0.25">
      <c r="A73" s="5" t="s">
        <v>157</v>
      </c>
      <c r="B73" s="4" t="s">
        <v>158</v>
      </c>
      <c r="C73" s="5" t="s">
        <v>241</v>
      </c>
      <c r="D73" s="5" t="s">
        <v>237</v>
      </c>
      <c r="E73" s="5" t="s">
        <v>252</v>
      </c>
      <c r="F73" s="5" t="s">
        <v>237</v>
      </c>
      <c r="G73" s="5" t="s">
        <v>243</v>
      </c>
      <c r="H73" s="5" t="s">
        <v>238</v>
      </c>
      <c r="I73" s="4" t="e">
        <f>#VALUE!</f>
        <v>#VALUE!</v>
      </c>
    </row>
    <row r="74" spans="1:9" ht="15.75" customHeight="1" x14ac:dyDescent="0.25">
      <c r="A74" s="5" t="s">
        <v>159</v>
      </c>
      <c r="B74" s="4" t="s">
        <v>160</v>
      </c>
      <c r="C74" s="5" t="s">
        <v>235</v>
      </c>
      <c r="D74" s="5" t="s">
        <v>235</v>
      </c>
      <c r="E74" s="5" t="s">
        <v>241</v>
      </c>
      <c r="F74" s="5" t="s">
        <v>238</v>
      </c>
      <c r="G74" s="5" t="s">
        <v>243</v>
      </c>
      <c r="H74" s="5" t="s">
        <v>236</v>
      </c>
      <c r="I74" s="4" t="e">
        <f>#VALUE!</f>
        <v>#VALUE!</v>
      </c>
    </row>
    <row r="75" spans="1:9" ht="15.75" customHeight="1" x14ac:dyDescent="0.25">
      <c r="A75" s="5" t="s">
        <v>161</v>
      </c>
      <c r="B75" s="4" t="s">
        <v>162</v>
      </c>
      <c r="C75" s="5" t="s">
        <v>236</v>
      </c>
      <c r="D75" s="5" t="s">
        <v>236</v>
      </c>
      <c r="E75" s="5" t="s">
        <v>235</v>
      </c>
      <c r="F75" s="5" t="s">
        <v>243</v>
      </c>
      <c r="G75" s="5" t="s">
        <v>238</v>
      </c>
      <c r="H75" s="5" t="s">
        <v>242</v>
      </c>
      <c r="I75" s="4" t="e">
        <f>#VALUE!</f>
        <v>#VALUE!</v>
      </c>
    </row>
    <row r="76" spans="1:9" ht="15.75" customHeight="1" x14ac:dyDescent="0.25">
      <c r="A76" s="5" t="s">
        <v>163</v>
      </c>
      <c r="B76" s="4" t="s">
        <v>164</v>
      </c>
      <c r="C76" s="5" t="s">
        <v>235</v>
      </c>
      <c r="D76" s="5" t="s">
        <v>236</v>
      </c>
      <c r="E76" s="5" t="s">
        <v>235</v>
      </c>
      <c r="F76" s="5" t="s">
        <v>237</v>
      </c>
      <c r="G76" s="5" t="s">
        <v>235</v>
      </c>
      <c r="H76" s="5" t="s">
        <v>235</v>
      </c>
      <c r="I76" s="4" t="e">
        <f>#VALUE!</f>
        <v>#VALUE!</v>
      </c>
    </row>
    <row r="77" spans="1:9" ht="15.75" customHeight="1" x14ac:dyDescent="0.25">
      <c r="A77" s="5" t="s">
        <v>165</v>
      </c>
      <c r="B77" s="4" t="s">
        <v>166</v>
      </c>
      <c r="C77" s="5" t="s">
        <v>237</v>
      </c>
      <c r="D77" s="5" t="s">
        <v>235</v>
      </c>
      <c r="E77" s="5" t="s">
        <v>244</v>
      </c>
      <c r="F77" s="5" t="s">
        <v>244</v>
      </c>
      <c r="G77" s="5" t="s">
        <v>239</v>
      </c>
      <c r="H77" s="5" t="s">
        <v>239</v>
      </c>
      <c r="I77" s="4" t="e">
        <f>#VALUE!</f>
        <v>#VALUE!</v>
      </c>
    </row>
    <row r="78" spans="1:9" ht="15.75" customHeight="1" x14ac:dyDescent="0.25">
      <c r="A78" s="5" t="s">
        <v>167</v>
      </c>
      <c r="B78" s="4" t="s">
        <v>168</v>
      </c>
      <c r="C78" s="5" t="s">
        <v>241</v>
      </c>
      <c r="D78" s="5" t="s">
        <v>242</v>
      </c>
      <c r="E78" s="5" t="s">
        <v>235</v>
      </c>
      <c r="F78" s="5" t="s">
        <v>238</v>
      </c>
      <c r="G78" s="5" t="s">
        <v>236</v>
      </c>
      <c r="H78" s="5" t="s">
        <v>241</v>
      </c>
      <c r="I78" s="4" t="e">
        <f>#VALUE!</f>
        <v>#VALUE!</v>
      </c>
    </row>
    <row r="79" spans="1:9" ht="15.75" customHeight="1" x14ac:dyDescent="0.25">
      <c r="A79" s="5" t="s">
        <v>169</v>
      </c>
      <c r="B79" s="4" t="s">
        <v>170</v>
      </c>
      <c r="C79" s="5" t="s">
        <v>242</v>
      </c>
      <c r="D79" s="5" t="s">
        <v>241</v>
      </c>
      <c r="E79" s="5" t="s">
        <v>235</v>
      </c>
      <c r="F79" s="5" t="s">
        <v>238</v>
      </c>
      <c r="G79" s="5" t="s">
        <v>237</v>
      </c>
      <c r="H79" s="5" t="s">
        <v>236</v>
      </c>
      <c r="I79" s="4" t="e">
        <f>#VALUE!</f>
        <v>#VALUE!</v>
      </c>
    </row>
    <row r="80" spans="1:9" ht="15.75" customHeight="1" x14ac:dyDescent="0.25">
      <c r="A80" s="5" t="s">
        <v>171</v>
      </c>
      <c r="B80" s="4" t="s">
        <v>172</v>
      </c>
      <c r="C80" s="5" t="s">
        <v>242</v>
      </c>
      <c r="D80" s="5" t="s">
        <v>241</v>
      </c>
      <c r="E80" s="5" t="s">
        <v>236</v>
      </c>
      <c r="F80" s="5" t="s">
        <v>237</v>
      </c>
      <c r="G80" s="5" t="s">
        <v>241</v>
      </c>
      <c r="H80" s="5" t="s">
        <v>236</v>
      </c>
      <c r="I80" s="4" t="e">
        <f>#VALUE!</f>
        <v>#VALUE!</v>
      </c>
    </row>
    <row r="81" spans="1:9" ht="15.75" customHeight="1" x14ac:dyDescent="0.25">
      <c r="A81" s="5" t="s">
        <v>173</v>
      </c>
      <c r="B81" s="4" t="s">
        <v>174</v>
      </c>
      <c r="C81" s="5" t="s">
        <v>242</v>
      </c>
      <c r="D81" s="5" t="s">
        <v>242</v>
      </c>
      <c r="E81" s="5" t="s">
        <v>236</v>
      </c>
      <c r="F81" s="5" t="s">
        <v>237</v>
      </c>
      <c r="G81" s="5" t="s">
        <v>237</v>
      </c>
      <c r="H81" s="5" t="s">
        <v>238</v>
      </c>
      <c r="I81" s="4" t="e">
        <f>#VALUE!</f>
        <v>#VALUE!</v>
      </c>
    </row>
    <row r="82" spans="1:9" ht="15.75" customHeight="1" x14ac:dyDescent="0.25">
      <c r="A82" s="5" t="s">
        <v>175</v>
      </c>
      <c r="B82" s="4" t="s">
        <v>176</v>
      </c>
      <c r="C82" s="5" t="s">
        <v>238</v>
      </c>
      <c r="D82" s="5" t="s">
        <v>235</v>
      </c>
      <c r="E82" s="5" t="s">
        <v>235</v>
      </c>
      <c r="F82" s="5" t="s">
        <v>243</v>
      </c>
      <c r="G82" s="5" t="s">
        <v>237</v>
      </c>
      <c r="H82" s="5" t="s">
        <v>252</v>
      </c>
      <c r="I82" s="4" t="e">
        <f>#VALUE!</f>
        <v>#VALUE!</v>
      </c>
    </row>
    <row r="83" spans="1:9" ht="15.75" customHeight="1" x14ac:dyDescent="0.25">
      <c r="A83" s="5" t="s">
        <v>177</v>
      </c>
      <c r="B83" s="4" t="s">
        <v>178</v>
      </c>
      <c r="C83" s="5" t="s">
        <v>235</v>
      </c>
      <c r="D83" s="5" t="s">
        <v>236</v>
      </c>
      <c r="E83" s="5" t="s">
        <v>236</v>
      </c>
      <c r="F83" s="5" t="s">
        <v>244</v>
      </c>
      <c r="G83" s="5" t="s">
        <v>237</v>
      </c>
      <c r="H83" s="5" t="s">
        <v>235</v>
      </c>
      <c r="I83" s="4" t="e">
        <f>#VALUE!</f>
        <v>#VALUE!</v>
      </c>
    </row>
    <row r="84" spans="1:9" ht="15.75" customHeight="1" x14ac:dyDescent="0.25">
      <c r="A84" s="5" t="s">
        <v>179</v>
      </c>
      <c r="B84" s="4" t="s">
        <v>180</v>
      </c>
      <c r="C84" s="5" t="s">
        <v>242</v>
      </c>
      <c r="D84" s="5" t="s">
        <v>241</v>
      </c>
      <c r="E84" s="5" t="s">
        <v>237</v>
      </c>
      <c r="F84" s="5" t="s">
        <v>238</v>
      </c>
      <c r="G84" s="5" t="s">
        <v>237</v>
      </c>
      <c r="H84" s="5" t="s">
        <v>244</v>
      </c>
      <c r="I84" s="4" t="e">
        <f>#VALUE!</f>
        <v>#VALUE!</v>
      </c>
    </row>
    <row r="85" spans="1:9" ht="15.75" customHeight="1" x14ac:dyDescent="0.25">
      <c r="A85" s="5" t="s">
        <v>181</v>
      </c>
      <c r="B85" s="4" t="s">
        <v>182</v>
      </c>
      <c r="C85" s="5" t="s">
        <v>242</v>
      </c>
      <c r="D85" s="5" t="s">
        <v>242</v>
      </c>
      <c r="E85" s="5" t="s">
        <v>237</v>
      </c>
      <c r="F85" s="5" t="s">
        <v>235</v>
      </c>
      <c r="G85" s="5" t="s">
        <v>236</v>
      </c>
      <c r="H85" s="5" t="s">
        <v>243</v>
      </c>
      <c r="I85" s="4" t="e">
        <f>#VALUE!</f>
        <v>#VALUE!</v>
      </c>
    </row>
    <row r="86" spans="1:9" ht="15.75" customHeight="1" x14ac:dyDescent="0.25">
      <c r="A86" s="5" t="s">
        <v>183</v>
      </c>
      <c r="B86" s="4" t="s">
        <v>184</v>
      </c>
      <c r="C86" s="5" t="s">
        <v>242</v>
      </c>
      <c r="D86" s="5" t="s">
        <v>242</v>
      </c>
      <c r="E86" s="5" t="s">
        <v>235</v>
      </c>
      <c r="F86" s="5" t="s">
        <v>238</v>
      </c>
      <c r="G86" s="5" t="s">
        <v>236</v>
      </c>
      <c r="H86" s="5" t="s">
        <v>235</v>
      </c>
      <c r="I86" s="4" t="e">
        <f>#VALUE!</f>
        <v>#VALUE!</v>
      </c>
    </row>
    <row r="87" spans="1:9" ht="15.75" customHeight="1" x14ac:dyDescent="0.25">
      <c r="A87" s="5" t="s">
        <v>185</v>
      </c>
      <c r="B87" s="4" t="s">
        <v>186</v>
      </c>
      <c r="C87" s="5" t="s">
        <v>237</v>
      </c>
      <c r="D87" s="5" t="s">
        <v>235</v>
      </c>
      <c r="E87" s="5" t="s">
        <v>237</v>
      </c>
      <c r="F87" s="5" t="s">
        <v>243</v>
      </c>
      <c r="G87" s="5" t="s">
        <v>238</v>
      </c>
      <c r="H87" s="5" t="s">
        <v>244</v>
      </c>
      <c r="I87" s="4" t="e">
        <f>#VALUE!</f>
        <v>#VALUE!</v>
      </c>
    </row>
    <row r="88" spans="1:9" ht="15.75" customHeight="1" x14ac:dyDescent="0.25">
      <c r="A88" s="5" t="s">
        <v>187</v>
      </c>
      <c r="B88" s="4" t="s">
        <v>188</v>
      </c>
      <c r="C88" s="5" t="s">
        <v>238</v>
      </c>
      <c r="D88" s="5" t="s">
        <v>237</v>
      </c>
      <c r="E88" s="5" t="s">
        <v>243</v>
      </c>
      <c r="F88" s="5" t="s">
        <v>239</v>
      </c>
      <c r="G88" s="5" t="s">
        <v>237</v>
      </c>
      <c r="H88" s="5" t="s">
        <v>242</v>
      </c>
      <c r="I88" s="4" t="e">
        <f>#VALUE!</f>
        <v>#VALUE!</v>
      </c>
    </row>
    <row r="89" spans="1:9" ht="15.75" customHeight="1" x14ac:dyDescent="0.25">
      <c r="A89" s="5" t="s">
        <v>189</v>
      </c>
      <c r="B89" s="4" t="s">
        <v>190</v>
      </c>
      <c r="C89" s="5" t="s">
        <v>235</v>
      </c>
      <c r="D89" s="5" t="s">
        <v>235</v>
      </c>
      <c r="E89" s="5" t="s">
        <v>238</v>
      </c>
      <c r="F89" s="5" t="s">
        <v>243</v>
      </c>
      <c r="G89" s="5" t="s">
        <v>237</v>
      </c>
      <c r="H89" s="5" t="s">
        <v>235</v>
      </c>
      <c r="I89" s="4" t="e">
        <f>#VALUE!</f>
        <v>#VALUE!</v>
      </c>
    </row>
    <row r="90" spans="1:9" ht="15.75" customHeight="1" x14ac:dyDescent="0.25">
      <c r="A90" s="5" t="s">
        <v>191</v>
      </c>
      <c r="B90" s="4" t="s">
        <v>192</v>
      </c>
      <c r="C90" s="5" t="s">
        <v>239</v>
      </c>
      <c r="D90" s="5" t="s">
        <v>238</v>
      </c>
      <c r="E90" s="5" t="s">
        <v>244</v>
      </c>
      <c r="F90" s="5" t="s">
        <v>237</v>
      </c>
      <c r="G90" s="5" t="s">
        <v>235</v>
      </c>
      <c r="H90" s="5" t="s">
        <v>237</v>
      </c>
      <c r="I90" s="4" t="e">
        <f>#VALUE!</f>
        <v>#VALUE!</v>
      </c>
    </row>
    <row r="91" spans="1:9" ht="15.75" customHeight="1" x14ac:dyDescent="0.25">
      <c r="A91" s="5" t="s">
        <v>193</v>
      </c>
      <c r="B91" s="4" t="s">
        <v>194</v>
      </c>
      <c r="C91" s="5" t="s">
        <v>236</v>
      </c>
      <c r="D91" s="5" t="s">
        <v>236</v>
      </c>
      <c r="E91" s="5" t="s">
        <v>236</v>
      </c>
      <c r="F91" s="5" t="s">
        <v>243</v>
      </c>
      <c r="G91" s="5" t="s">
        <v>236</v>
      </c>
      <c r="H91" s="5" t="s">
        <v>241</v>
      </c>
      <c r="I91" s="4" t="e">
        <f>#VALUE!</f>
        <v>#VALUE!</v>
      </c>
    </row>
    <row r="92" spans="1:9" ht="15.75" customHeight="1" x14ac:dyDescent="0.25">
      <c r="A92" s="5" t="s">
        <v>195</v>
      </c>
      <c r="B92" s="4" t="s">
        <v>196</v>
      </c>
      <c r="C92" s="5" t="s">
        <v>235</v>
      </c>
      <c r="D92" s="5" t="s">
        <v>235</v>
      </c>
      <c r="E92" s="5" t="s">
        <v>238</v>
      </c>
      <c r="F92" s="5" t="s">
        <v>244</v>
      </c>
      <c r="G92" s="5" t="s">
        <v>235</v>
      </c>
      <c r="H92" s="5" t="s">
        <v>235</v>
      </c>
      <c r="I92" s="4" t="e">
        <f>#VALUE!</f>
        <v>#VALUE!</v>
      </c>
    </row>
    <row r="93" spans="1:9" ht="15.75" customHeight="1" x14ac:dyDescent="0.25">
      <c r="A93" s="5" t="s">
        <v>197</v>
      </c>
      <c r="B93" s="4" t="s">
        <v>198</v>
      </c>
      <c r="C93" s="5" t="s">
        <v>242</v>
      </c>
      <c r="D93" s="5" t="s">
        <v>241</v>
      </c>
      <c r="E93" s="5" t="s">
        <v>237</v>
      </c>
      <c r="F93" s="5" t="s">
        <v>237</v>
      </c>
      <c r="G93" s="5" t="s">
        <v>235</v>
      </c>
      <c r="H93" s="5" t="s">
        <v>238</v>
      </c>
      <c r="I93" s="4" t="e">
        <f>#VALUE!</f>
        <v>#VALUE!</v>
      </c>
    </row>
    <row r="94" spans="1:9" ht="15.75" customHeight="1" x14ac:dyDescent="0.25">
      <c r="A94" s="5" t="s">
        <v>199</v>
      </c>
      <c r="B94" s="4" t="s">
        <v>200</v>
      </c>
      <c r="C94" s="5" t="s">
        <v>241</v>
      </c>
      <c r="D94" s="5" t="s">
        <v>236</v>
      </c>
      <c r="E94" s="5" t="s">
        <v>241</v>
      </c>
      <c r="F94" s="5" t="s">
        <v>243</v>
      </c>
      <c r="G94" s="5" t="s">
        <v>237</v>
      </c>
      <c r="H94" s="5" t="s">
        <v>244</v>
      </c>
      <c r="I94" s="4" t="e">
        <f>#VALUE!</f>
        <v>#VALUE!</v>
      </c>
    </row>
    <row r="95" spans="1:9" ht="15.75" customHeight="1" x14ac:dyDescent="0.25">
      <c r="A95" s="5" t="s">
        <v>201</v>
      </c>
      <c r="B95" s="4" t="s">
        <v>202</v>
      </c>
      <c r="C95" s="5" t="s">
        <v>241</v>
      </c>
      <c r="D95" s="5" t="s">
        <v>235</v>
      </c>
      <c r="E95" s="5" t="s">
        <v>237</v>
      </c>
      <c r="F95" s="5" t="s">
        <v>243</v>
      </c>
      <c r="G95" s="5" t="s">
        <v>238</v>
      </c>
      <c r="H95" s="5" t="s">
        <v>243</v>
      </c>
      <c r="I95" s="4" t="e">
        <f>#VALUE!</f>
        <v>#VALUE!</v>
      </c>
    </row>
    <row r="96" spans="1:9" ht="15.75" customHeight="1" x14ac:dyDescent="0.25">
      <c r="A96" s="5" t="s">
        <v>203</v>
      </c>
      <c r="B96" s="4" t="s">
        <v>204</v>
      </c>
      <c r="C96" s="5" t="s">
        <v>241</v>
      </c>
      <c r="D96" s="5" t="s">
        <v>241</v>
      </c>
      <c r="E96" s="5" t="s">
        <v>235</v>
      </c>
      <c r="F96" s="5" t="s">
        <v>244</v>
      </c>
      <c r="G96" s="5" t="s">
        <v>236</v>
      </c>
      <c r="H96" s="5" t="s">
        <v>236</v>
      </c>
      <c r="I96" s="4" t="e">
        <f>#VALUE!</f>
        <v>#VALUE!</v>
      </c>
    </row>
    <row r="97" spans="1:9" ht="15.75" customHeight="1" x14ac:dyDescent="0.25">
      <c r="A97" s="5" t="s">
        <v>205</v>
      </c>
      <c r="B97" s="4" t="s">
        <v>206</v>
      </c>
      <c r="C97" s="5" t="s">
        <v>242</v>
      </c>
      <c r="D97" s="5" t="s">
        <v>236</v>
      </c>
      <c r="E97" s="5" t="s">
        <v>236</v>
      </c>
      <c r="F97" s="5" t="s">
        <v>235</v>
      </c>
      <c r="G97" s="5" t="s">
        <v>238</v>
      </c>
      <c r="H97" s="5" t="s">
        <v>235</v>
      </c>
      <c r="I97" s="4" t="e">
        <f>#VALUE!</f>
        <v>#VALUE!</v>
      </c>
    </row>
    <row r="98" spans="1:9" ht="15.75" customHeight="1" x14ac:dyDescent="0.25">
      <c r="A98" s="5" t="s">
        <v>207</v>
      </c>
      <c r="B98" s="4" t="s">
        <v>208</v>
      </c>
      <c r="C98" s="5" t="s">
        <v>236</v>
      </c>
      <c r="D98" s="5" t="s">
        <v>235</v>
      </c>
      <c r="E98" s="5" t="s">
        <v>237</v>
      </c>
      <c r="F98" s="5" t="s">
        <v>237</v>
      </c>
      <c r="G98" s="5" t="s">
        <v>237</v>
      </c>
      <c r="H98" s="5" t="s">
        <v>243</v>
      </c>
      <c r="I98" s="4" t="e">
        <f>#VALUE!</f>
        <v>#VALUE!</v>
      </c>
    </row>
    <row r="99" spans="1:9" ht="15.75" customHeight="1" x14ac:dyDescent="0.25">
      <c r="A99" s="5" t="s">
        <v>209</v>
      </c>
      <c r="B99" s="4" t="s">
        <v>210</v>
      </c>
      <c r="C99" s="5" t="s">
        <v>235</v>
      </c>
      <c r="D99" s="5" t="s">
        <v>235</v>
      </c>
      <c r="E99" s="5" t="s">
        <v>235</v>
      </c>
      <c r="F99" s="5" t="s">
        <v>244</v>
      </c>
      <c r="G99" s="5" t="s">
        <v>238</v>
      </c>
      <c r="H99" s="5" t="s">
        <v>236</v>
      </c>
      <c r="I99" s="4" t="e">
        <f>#VALUE!</f>
        <v>#VALUE!</v>
      </c>
    </row>
    <row r="100" spans="1:9" ht="15.75" customHeight="1" x14ac:dyDescent="0.25">
      <c r="A100" s="5" t="s">
        <v>211</v>
      </c>
      <c r="B100" s="4" t="s">
        <v>212</v>
      </c>
      <c r="C100" s="5" t="s">
        <v>241</v>
      </c>
      <c r="D100" s="5" t="s">
        <v>235</v>
      </c>
      <c r="E100" s="5" t="s">
        <v>236</v>
      </c>
      <c r="F100" s="5" t="s">
        <v>244</v>
      </c>
      <c r="G100" s="5" t="s">
        <v>238</v>
      </c>
      <c r="H100" s="5" t="s">
        <v>235</v>
      </c>
      <c r="I100" s="4" t="e">
        <f>#VALUE!</f>
        <v>#VALUE!</v>
      </c>
    </row>
    <row r="101" spans="1:9" ht="15.75" customHeight="1" x14ac:dyDescent="0.25">
      <c r="A101" s="5" t="s">
        <v>213</v>
      </c>
      <c r="B101" s="4" t="s">
        <v>214</v>
      </c>
      <c r="C101" s="5" t="s">
        <v>241</v>
      </c>
      <c r="D101" s="5" t="s">
        <v>236</v>
      </c>
      <c r="E101" s="5" t="s">
        <v>235</v>
      </c>
      <c r="F101" s="5" t="s">
        <v>235</v>
      </c>
      <c r="G101" s="5" t="s">
        <v>236</v>
      </c>
      <c r="H101" s="5" t="s">
        <v>241</v>
      </c>
      <c r="I101" s="4" t="e">
        <f>#VALUE!</f>
        <v>#VALUE!</v>
      </c>
    </row>
    <row r="102" spans="1:9" ht="15.75" customHeight="1" x14ac:dyDescent="0.25">
      <c r="A102" s="5" t="s">
        <v>215</v>
      </c>
      <c r="B102" s="4" t="s">
        <v>216</v>
      </c>
      <c r="C102" s="5" t="s">
        <v>235</v>
      </c>
      <c r="D102" s="5" t="s">
        <v>236</v>
      </c>
      <c r="E102" s="5" t="s">
        <v>241</v>
      </c>
      <c r="F102" s="5" t="s">
        <v>243</v>
      </c>
      <c r="G102" s="5" t="s">
        <v>238</v>
      </c>
      <c r="H102" s="5" t="s">
        <v>241</v>
      </c>
      <c r="I102" s="4" t="e">
        <f>#VALUE!</f>
        <v>#VALUE!</v>
      </c>
    </row>
    <row r="103" spans="1:9" ht="15.75" customHeight="1" x14ac:dyDescent="0.25">
      <c r="A103" s="5" t="s">
        <v>217</v>
      </c>
      <c r="B103" s="4" t="s">
        <v>218</v>
      </c>
      <c r="C103" s="5" t="s">
        <v>235</v>
      </c>
      <c r="D103" s="5" t="s">
        <v>236</v>
      </c>
      <c r="E103" s="5" t="s">
        <v>237</v>
      </c>
      <c r="F103" s="5" t="s">
        <v>238</v>
      </c>
      <c r="G103" s="5" t="s">
        <v>244</v>
      </c>
      <c r="H103" s="5" t="s">
        <v>242</v>
      </c>
      <c r="I103" s="4" t="e">
        <f>#VALUE!</f>
        <v>#VALUE!</v>
      </c>
    </row>
    <row r="104" spans="1:9" ht="15.75" customHeight="1" x14ac:dyDescent="0.25">
      <c r="A104" s="5" t="s">
        <v>219</v>
      </c>
      <c r="B104" s="4" t="s">
        <v>220</v>
      </c>
      <c r="C104" s="5" t="s">
        <v>238</v>
      </c>
      <c r="D104" s="5" t="s">
        <v>237</v>
      </c>
      <c r="E104" s="5" t="s">
        <v>238</v>
      </c>
      <c r="F104" s="5" t="s">
        <v>244</v>
      </c>
      <c r="G104" s="5" t="s">
        <v>238</v>
      </c>
      <c r="H104" s="5" t="s">
        <v>237</v>
      </c>
      <c r="I104" s="4" t="e">
        <f>#VALUE!</f>
        <v>#VALUE!</v>
      </c>
    </row>
    <row r="105" spans="1:9" ht="15.75" customHeight="1" x14ac:dyDescent="0.25">
      <c r="A105" s="5" t="s">
        <v>221</v>
      </c>
      <c r="B105" s="4" t="s">
        <v>222</v>
      </c>
      <c r="C105" s="5" t="s">
        <v>242</v>
      </c>
      <c r="D105" s="5" t="s">
        <v>242</v>
      </c>
      <c r="E105" s="5" t="s">
        <v>236</v>
      </c>
      <c r="F105" s="5" t="s">
        <v>239</v>
      </c>
      <c r="G105" s="5" t="s">
        <v>235</v>
      </c>
      <c r="H105" s="5" t="s">
        <v>235</v>
      </c>
      <c r="I105" s="4" t="e">
        <f>#VALUE!</f>
        <v>#VALUE!</v>
      </c>
    </row>
    <row r="106" spans="1:9" ht="15.75" customHeight="1" x14ac:dyDescent="0.25">
      <c r="A106" s="5" t="s">
        <v>223</v>
      </c>
      <c r="B106" s="4" t="s">
        <v>224</v>
      </c>
      <c r="C106" s="5" t="s">
        <v>236</v>
      </c>
      <c r="D106" s="5" t="s">
        <v>235</v>
      </c>
      <c r="E106" s="5" t="s">
        <v>243</v>
      </c>
      <c r="F106" s="5" t="s">
        <v>243</v>
      </c>
      <c r="G106" s="5" t="s">
        <v>238</v>
      </c>
      <c r="H106" s="5" t="s">
        <v>243</v>
      </c>
      <c r="I106" s="4" t="e">
        <f>#VALUE!</f>
        <v>#VALUE!</v>
      </c>
    </row>
    <row r="107" spans="1:9" ht="15.75" customHeight="1" x14ac:dyDescent="0.25">
      <c r="A107" s="5" t="s">
        <v>225</v>
      </c>
      <c r="B107" s="4" t="s">
        <v>226</v>
      </c>
      <c r="C107" s="5" t="s">
        <v>242</v>
      </c>
      <c r="D107" s="5" t="s">
        <v>241</v>
      </c>
      <c r="E107" s="5" t="s">
        <v>237</v>
      </c>
      <c r="F107" s="5" t="s">
        <v>244</v>
      </c>
      <c r="G107" s="5" t="s">
        <v>237</v>
      </c>
      <c r="H107" s="5" t="s">
        <v>238</v>
      </c>
      <c r="I107" s="4" t="e">
        <f>#VALUE!</f>
        <v>#VALUE!</v>
      </c>
    </row>
    <row r="108" spans="1:9" ht="15.75" customHeight="1" x14ac:dyDescent="0.25">
      <c r="A108" s="5" t="s">
        <v>227</v>
      </c>
      <c r="B108" s="4" t="s">
        <v>228</v>
      </c>
      <c r="C108" s="5" t="s">
        <v>238</v>
      </c>
      <c r="D108" s="5" t="s">
        <v>237</v>
      </c>
      <c r="E108" s="5" t="s">
        <v>244</v>
      </c>
      <c r="F108" s="5" t="s">
        <v>244</v>
      </c>
      <c r="G108" s="5" t="s">
        <v>244</v>
      </c>
      <c r="H108" s="5" t="s">
        <v>235</v>
      </c>
      <c r="I108" s="4" t="e">
        <f>#VALUE!</f>
        <v>#VALUE!</v>
      </c>
    </row>
    <row r="109" spans="1:9" ht="15.75" customHeight="1" x14ac:dyDescent="0.25"/>
    <row r="110" spans="1:9" ht="15.75" customHeight="1" x14ac:dyDescent="0.25"/>
    <row r="111" spans="1:9" ht="15.75" customHeight="1" x14ac:dyDescent="0.25"/>
    <row r="112" spans="1:9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6" customWidth="1"/>
    <col min="2" max="2" width="27.28515625" customWidth="1"/>
    <col min="3" max="3" width="10.140625" customWidth="1"/>
    <col min="4" max="4" width="8" customWidth="1"/>
    <col min="5" max="6" width="9.140625" customWidth="1"/>
    <col min="7" max="7" width="8" customWidth="1"/>
    <col min="8" max="8" width="10.85546875" customWidth="1"/>
    <col min="9" max="26" width="8" customWidth="1"/>
  </cols>
  <sheetData>
    <row r="1" spans="1:8" x14ac:dyDescent="0.25">
      <c r="A1" s="1" t="s">
        <v>0</v>
      </c>
      <c r="B1" s="2" t="s">
        <v>1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258</v>
      </c>
      <c r="H1" s="1" t="s">
        <v>234</v>
      </c>
    </row>
    <row r="2" spans="1:8" x14ac:dyDescent="0.25">
      <c r="A2" s="3" t="s">
        <v>15</v>
      </c>
      <c r="B2" s="4" t="s">
        <v>16</v>
      </c>
      <c r="C2" s="3" t="s">
        <v>241</v>
      </c>
      <c r="D2" s="3" t="s">
        <v>235</v>
      </c>
      <c r="E2" s="3" t="s">
        <v>236</v>
      </c>
      <c r="F2" s="3" t="s">
        <v>241</v>
      </c>
      <c r="G2" s="3" t="s">
        <v>237</v>
      </c>
      <c r="H2" s="3">
        <f>IFERROR(
    ROUND(
        (
            (IF(C2="A+", 4, IF(C2="A", 4, IF(C2="A-", 3.7, IF(C2="B+", 3.3, IF(C2="B", 3, IF(C2="B-", 2.7, IF(C2="C+", 2.3, IF(C2="C", 2, IF(C2="C-", 1.7, IF(C2="D+", 1.3, IF(C2="D", 1, IF(C2="E", 0, 0))))))))))))) * 4 +
            (IF(D2="A+", 4, IF(D2="A", 4, IF(D2="A-", 3.7, IF(D2="B+", 3.3, IF(D2="B", 3, IF(D2="B-", 2.7, IF(D2="C+", 2.3, IF(D2="C", 2, IF(D2="C-", 1.7, IF(D2="D+", 1.3, IF(D2="D", 1, IF(D2="E", 0, 0))))))))))))) * 3 +
            (IF(E2="A+", 4, IF(E2="A", 4, IF(E2="A-", 3.7, IF(E2="B+", 3.3, IF(E2="B", 3, IF(E2="B-", 2.7, IF(E2="C+", 2.3, IF(E2="C", 2, IF(E2="C-", 1.7, IF(E2="D+", 1.3, IF(E2="D", 1, IF(E2="E", 0, 0))))))))))))) * 3 +
            (IF(F2="A+", 4, IF(F2="A", 4, IF(F2="A-", 3.7, IF(F2="B+", 3.3, IF(F2="B", 3, IF(F2="B-", 2.7, IF(F2="C+", 2.3, IF(F2="C", 2, IF(F2="C-", 1.7, IF(F2="D+", 1.3, IF(F2="D", 1, IF(F2="E", 0, 0))))))))))))) * 3 +
            (IF(G2="A+", 4, IF(G2="A", 4, IF(G2="A-", 3.7, IF(G2="B+", 3.3, IF(G2="B", 3, IF(G2="B-", 2.7, IF(G2="C+", 2.3, IF(G2="C", 2, IF(G2="C-", 1.7, IF(G2="D+", 1.3, IF(G2="D", 1, IF(G2="E", 0, 0))))))))))))) * 2
        ) /
        (4 + 3 + 3 + 3 + 2),
    2),
0)</f>
        <v>3.67</v>
      </c>
    </row>
    <row r="3" spans="1:8" x14ac:dyDescent="0.25">
      <c r="A3" s="3" t="s">
        <v>17</v>
      </c>
      <c r="B3" s="4" t="s">
        <v>18</v>
      </c>
      <c r="C3" s="3" t="s">
        <v>240</v>
      </c>
      <c r="D3" s="3" t="s">
        <v>239</v>
      </c>
      <c r="E3" s="3" t="s">
        <v>240</v>
      </c>
      <c r="F3" s="3" t="s">
        <v>244</v>
      </c>
      <c r="G3" s="3" t="s">
        <v>244</v>
      </c>
      <c r="H3" s="3">
        <f t="shared" ref="H3:H34" si="0">IFERROR(
ROUND(
(
(IF(C3="A+", 4, IF(C3="A", 4, IF(C3="A-", 3.7, IF(C3="B+", 3.3, IF(C3="B", 3, IF(C3="B-", 2.7, IF(C3="C+", 2.3, IF(C3="C", 2, IF(C3="C-", 1.7, IF(C3="D+", 1.3, IF(C3="D", 1, IF(C3="E", 0, 0))))))))))))) * 4 +
(IF(D3="A+", 4, IF(D3="A", 4, IF(D3="A-", 3.7, IF(D3="B+", 3.3, IF(D3="B", 3, IF(D3="B-", 2.7, IF(D3="C+", 2.3, IF(D3="C", 2, IF(D3="C-", 1.7, IF(D3="D+", 1.3, IF(D3="D", 1, IF(D3="E", 0, 0))))))))))))) * 3 +
(IF(E3="A+", 4, IF(E3="A", 4, IF(E3="A-", 3.7, IF(E3="B+", 3.3, IF(E3="B", 3, IF(E3="B-", 2.7, IF(E3="C+", 2.3, IF(E3="C", 2, IF(E3="C-", 1.7, IF(E3="D+", 1.3, IF(E3="D", 1, IF(E3="E", 0, 0))))))))))))) * 3 +
(IF(F3="A+", 4, IF(F3="A", 4, IF(F3="A-", 3.7, IF(F3="B+", 3.3, IF(F3="B", 3, IF(F3="B-", 2.7, IF(F3="C+", 2.3, IF(F3="C", 2, IF(F3="C-", 1.7, IF(F3="D+", 1.3, IF(F3="D", 1, IF(F3="E", 0, 0))))))))))))) * 3 +
(IF(G3="A+", 4, IF(G3="A", 4, IF(G3="A-", 3.7, IF(G3="B+", 3.3, IF(G3="B", 3, IF(G3="B-", 2.7, IF(G3="C+", 2.3, IF(G3="C", 2, IF(G3="C-", 1.7, IF(G3="D+", 1.3, IF(G3="D", 1, IF(G3="E", 0, 0))))))))))))) *
2) /
(4 + 3 + 3 + 3 + 2),
2),
0)</f>
        <v>1.01</v>
      </c>
    </row>
    <row r="4" spans="1:8" x14ac:dyDescent="0.25">
      <c r="A4" s="3" t="s">
        <v>19</v>
      </c>
      <c r="B4" s="4" t="s">
        <v>20</v>
      </c>
      <c r="C4" s="3" t="s">
        <v>236</v>
      </c>
      <c r="D4" s="3" t="s">
        <v>237</v>
      </c>
      <c r="E4" s="3" t="s">
        <v>243</v>
      </c>
      <c r="F4" s="3" t="s">
        <v>237</v>
      </c>
      <c r="G4" s="3" t="s">
        <v>238</v>
      </c>
      <c r="H4" s="3">
        <f t="shared" si="0"/>
        <v>3.01</v>
      </c>
    </row>
    <row r="5" spans="1:8" x14ac:dyDescent="0.25">
      <c r="A5" s="3" t="s">
        <v>21</v>
      </c>
      <c r="B5" s="4" t="s">
        <v>22</v>
      </c>
      <c r="C5" s="3" t="s">
        <v>241</v>
      </c>
      <c r="D5" s="3" t="s">
        <v>235</v>
      </c>
      <c r="E5" s="3" t="s">
        <v>253</v>
      </c>
      <c r="F5" s="3" t="s">
        <v>237</v>
      </c>
      <c r="G5" s="3" t="s">
        <v>238</v>
      </c>
      <c r="H5" s="3">
        <f t="shared" si="0"/>
        <v>2.69</v>
      </c>
    </row>
    <row r="6" spans="1:8" x14ac:dyDescent="0.25">
      <c r="A6" s="3" t="s">
        <v>23</v>
      </c>
      <c r="B6" s="4" t="s">
        <v>24</v>
      </c>
      <c r="C6" s="3" t="s">
        <v>242</v>
      </c>
      <c r="D6" s="3" t="s">
        <v>241</v>
      </c>
      <c r="E6" s="3" t="s">
        <v>242</v>
      </c>
      <c r="F6" s="3" t="s">
        <v>241</v>
      </c>
      <c r="G6" s="3" t="s">
        <v>237</v>
      </c>
      <c r="H6" s="3">
        <f t="shared" si="0"/>
        <v>3.87</v>
      </c>
    </row>
    <row r="7" spans="1:8" x14ac:dyDescent="0.25">
      <c r="A7" s="3" t="s">
        <v>25</v>
      </c>
      <c r="B7" s="4" t="s">
        <v>26</v>
      </c>
      <c r="C7" s="3" t="s">
        <v>242</v>
      </c>
      <c r="D7" s="3" t="s">
        <v>236</v>
      </c>
      <c r="E7" s="3" t="s">
        <v>236</v>
      </c>
      <c r="F7" s="3" t="s">
        <v>241</v>
      </c>
      <c r="G7" s="3" t="s">
        <v>237</v>
      </c>
      <c r="H7" s="3">
        <f t="shared" si="0"/>
        <v>3.75</v>
      </c>
    </row>
    <row r="8" spans="1:8" x14ac:dyDescent="0.25">
      <c r="A8" s="3" t="s">
        <v>27</v>
      </c>
      <c r="B8" s="4" t="s">
        <v>28</v>
      </c>
      <c r="C8" s="3" t="s">
        <v>238</v>
      </c>
      <c r="D8" s="3" t="s">
        <v>237</v>
      </c>
      <c r="E8" s="3" t="s">
        <v>243</v>
      </c>
      <c r="F8" s="3" t="s">
        <v>238</v>
      </c>
      <c r="G8" s="3" t="s">
        <v>238</v>
      </c>
      <c r="H8" s="3">
        <f t="shared" si="0"/>
        <v>2.68</v>
      </c>
    </row>
    <row r="9" spans="1:8" x14ac:dyDescent="0.25">
      <c r="A9" s="3" t="s">
        <v>29</v>
      </c>
      <c r="B9" s="4" t="s">
        <v>30</v>
      </c>
      <c r="C9" s="3" t="s">
        <v>238</v>
      </c>
      <c r="D9" s="3" t="s">
        <v>243</v>
      </c>
      <c r="E9" s="3" t="s">
        <v>244</v>
      </c>
      <c r="F9" s="3" t="s">
        <v>243</v>
      </c>
      <c r="G9" s="3" t="s">
        <v>243</v>
      </c>
      <c r="H9" s="3">
        <f t="shared" si="0"/>
        <v>2.35</v>
      </c>
    </row>
    <row r="10" spans="1:8" x14ac:dyDescent="0.25">
      <c r="A10" s="3" t="s">
        <v>31</v>
      </c>
      <c r="B10" s="4" t="s">
        <v>32</v>
      </c>
      <c r="C10" s="3" t="s">
        <v>237</v>
      </c>
      <c r="D10" s="3" t="s">
        <v>235</v>
      </c>
      <c r="E10" s="3" t="s">
        <v>238</v>
      </c>
      <c r="F10" s="3" t="s">
        <v>238</v>
      </c>
      <c r="G10" s="3" t="s">
        <v>237</v>
      </c>
      <c r="H10" s="3">
        <f t="shared" si="0"/>
        <v>2.94</v>
      </c>
    </row>
    <row r="11" spans="1:8" x14ac:dyDescent="0.25">
      <c r="A11" s="3" t="s">
        <v>33</v>
      </c>
      <c r="B11" s="4" t="s">
        <v>34</v>
      </c>
      <c r="C11" s="3" t="s">
        <v>236</v>
      </c>
      <c r="D11" s="3" t="s">
        <v>236</v>
      </c>
      <c r="E11" s="3" t="s">
        <v>235</v>
      </c>
      <c r="F11" s="3" t="s">
        <v>237</v>
      </c>
      <c r="G11" s="3" t="s">
        <v>244</v>
      </c>
      <c r="H11" s="3">
        <f t="shared" si="0"/>
        <v>3.25</v>
      </c>
    </row>
    <row r="12" spans="1:8" x14ac:dyDescent="0.25">
      <c r="A12" s="3" t="s">
        <v>35</v>
      </c>
      <c r="B12" s="4" t="s">
        <v>36</v>
      </c>
      <c r="C12" s="3" t="s">
        <v>244</v>
      </c>
      <c r="D12" s="3" t="s">
        <v>237</v>
      </c>
      <c r="E12" s="3" t="s">
        <v>243</v>
      </c>
      <c r="F12" s="3" t="s">
        <v>243</v>
      </c>
      <c r="G12" s="3" t="s">
        <v>244</v>
      </c>
      <c r="H12" s="3">
        <f t="shared" si="0"/>
        <v>2.3199999999999998</v>
      </c>
    </row>
    <row r="13" spans="1:8" x14ac:dyDescent="0.25">
      <c r="A13" s="3" t="s">
        <v>37</v>
      </c>
      <c r="B13" s="4" t="s">
        <v>38</v>
      </c>
      <c r="C13" s="3" t="s">
        <v>241</v>
      </c>
      <c r="D13" s="3" t="s">
        <v>236</v>
      </c>
      <c r="E13" s="3" t="s">
        <v>235</v>
      </c>
      <c r="F13" s="3" t="s">
        <v>235</v>
      </c>
      <c r="G13" s="3" t="s">
        <v>243</v>
      </c>
      <c r="H13" s="3">
        <f t="shared" si="0"/>
        <v>3.43</v>
      </c>
    </row>
    <row r="14" spans="1:8" x14ac:dyDescent="0.25">
      <c r="A14" s="3" t="s">
        <v>39</v>
      </c>
      <c r="B14" s="4" t="s">
        <v>40</v>
      </c>
      <c r="C14" s="3" t="s">
        <v>235</v>
      </c>
      <c r="D14" s="3" t="s">
        <v>238</v>
      </c>
      <c r="E14" s="3" t="s">
        <v>243</v>
      </c>
      <c r="F14" s="3" t="s">
        <v>235</v>
      </c>
      <c r="G14" s="3" t="s">
        <v>235</v>
      </c>
      <c r="H14" s="3">
        <f t="shared" si="0"/>
        <v>2.98</v>
      </c>
    </row>
    <row r="15" spans="1:8" x14ac:dyDescent="0.25">
      <c r="A15" s="3" t="s">
        <v>41</v>
      </c>
      <c r="B15" s="4" t="s">
        <v>42</v>
      </c>
      <c r="C15" s="3" t="s">
        <v>241</v>
      </c>
      <c r="D15" s="3" t="s">
        <v>235</v>
      </c>
      <c r="E15" s="3" t="s">
        <v>237</v>
      </c>
      <c r="F15" s="3" t="s">
        <v>236</v>
      </c>
      <c r="G15" s="3" t="s">
        <v>243</v>
      </c>
      <c r="H15" s="3">
        <f t="shared" si="0"/>
        <v>3.37</v>
      </c>
    </row>
    <row r="16" spans="1:8" x14ac:dyDescent="0.25">
      <c r="A16" s="3" t="s">
        <v>43</v>
      </c>
      <c r="B16" s="4" t="s">
        <v>44</v>
      </c>
      <c r="C16" s="3" t="s">
        <v>244</v>
      </c>
      <c r="D16" s="3" t="s">
        <v>244</v>
      </c>
      <c r="E16" s="3" t="s">
        <v>243</v>
      </c>
      <c r="F16" s="3" t="s">
        <v>244</v>
      </c>
      <c r="G16" s="3" t="s">
        <v>244</v>
      </c>
      <c r="H16" s="3">
        <f t="shared" si="0"/>
        <v>2.06</v>
      </c>
    </row>
    <row r="17" spans="1:8" x14ac:dyDescent="0.25">
      <c r="A17" s="3" t="s">
        <v>45</v>
      </c>
      <c r="B17" s="4" t="s">
        <v>46</v>
      </c>
      <c r="C17" s="3" t="s">
        <v>241</v>
      </c>
      <c r="D17" s="3" t="s">
        <v>241</v>
      </c>
      <c r="E17" s="3" t="s">
        <v>236</v>
      </c>
      <c r="F17" s="3" t="s">
        <v>241</v>
      </c>
      <c r="G17" s="3" t="s">
        <v>236</v>
      </c>
      <c r="H17" s="3">
        <f t="shared" si="0"/>
        <v>3.9</v>
      </c>
    </row>
    <row r="18" spans="1:8" x14ac:dyDescent="0.25">
      <c r="A18" s="3" t="s">
        <v>47</v>
      </c>
      <c r="B18" s="4" t="s">
        <v>48</v>
      </c>
      <c r="C18" s="3" t="s">
        <v>241</v>
      </c>
      <c r="D18" s="3" t="s">
        <v>241</v>
      </c>
      <c r="E18" s="3" t="s">
        <v>238</v>
      </c>
      <c r="F18" s="3" t="s">
        <v>242</v>
      </c>
      <c r="G18" s="3" t="s">
        <v>235</v>
      </c>
      <c r="H18" s="3">
        <f t="shared" si="0"/>
        <v>3.65</v>
      </c>
    </row>
    <row r="19" spans="1:8" x14ac:dyDescent="0.25">
      <c r="A19" s="3" t="s">
        <v>49</v>
      </c>
      <c r="B19" s="4" t="s">
        <v>50</v>
      </c>
      <c r="C19" s="3" t="s">
        <v>244</v>
      </c>
      <c r="D19" s="3" t="s">
        <v>244</v>
      </c>
      <c r="E19" s="3" t="s">
        <v>244</v>
      </c>
      <c r="F19" s="3" t="s">
        <v>244</v>
      </c>
      <c r="G19" s="3" t="s">
        <v>244</v>
      </c>
      <c r="H19" s="3">
        <f t="shared" si="0"/>
        <v>2</v>
      </c>
    </row>
    <row r="20" spans="1:8" x14ac:dyDescent="0.25">
      <c r="A20" s="3" t="s">
        <v>51</v>
      </c>
      <c r="B20" s="4" t="s">
        <v>52</v>
      </c>
      <c r="C20" s="3" t="s">
        <v>235</v>
      </c>
      <c r="D20" s="3" t="s">
        <v>235</v>
      </c>
      <c r="E20" s="3" t="s">
        <v>236</v>
      </c>
      <c r="F20" s="3" t="s">
        <v>237</v>
      </c>
      <c r="G20" s="3" t="s">
        <v>238</v>
      </c>
      <c r="H20" s="3">
        <f t="shared" si="0"/>
        <v>3.24</v>
      </c>
    </row>
    <row r="21" spans="1:8" ht="15.75" customHeight="1" x14ac:dyDescent="0.25">
      <c r="A21" s="3" t="s">
        <v>53</v>
      </c>
      <c r="B21" s="4" t="s">
        <v>54</v>
      </c>
      <c r="C21" s="3" t="s">
        <v>242</v>
      </c>
      <c r="D21" s="3" t="s">
        <v>241</v>
      </c>
      <c r="E21" s="3" t="s">
        <v>241</v>
      </c>
      <c r="F21" s="3" t="s">
        <v>241</v>
      </c>
      <c r="G21" s="3" t="s">
        <v>235</v>
      </c>
      <c r="H21" s="3">
        <f t="shared" si="0"/>
        <v>3.91</v>
      </c>
    </row>
    <row r="22" spans="1:8" ht="15.75" customHeight="1" x14ac:dyDescent="0.25">
      <c r="A22" s="3" t="s">
        <v>55</v>
      </c>
      <c r="B22" s="4" t="s">
        <v>56</v>
      </c>
      <c r="C22" s="3" t="s">
        <v>235</v>
      </c>
      <c r="D22" s="3" t="s">
        <v>237</v>
      </c>
      <c r="E22" s="3" t="s">
        <v>243</v>
      </c>
      <c r="F22" s="3" t="s">
        <v>238</v>
      </c>
      <c r="G22" s="3" t="s">
        <v>238</v>
      </c>
      <c r="H22" s="3">
        <f t="shared" si="0"/>
        <v>2.84</v>
      </c>
    </row>
    <row r="23" spans="1:8" ht="15.75" customHeight="1" x14ac:dyDescent="0.25">
      <c r="A23" s="3" t="s">
        <v>57</v>
      </c>
      <c r="B23" s="4" t="s">
        <v>58</v>
      </c>
      <c r="C23" s="3" t="s">
        <v>237</v>
      </c>
      <c r="D23" s="3" t="s">
        <v>237</v>
      </c>
      <c r="E23" s="3" t="s">
        <v>235</v>
      </c>
      <c r="F23" s="3" t="s">
        <v>235</v>
      </c>
      <c r="G23" s="3" t="s">
        <v>243</v>
      </c>
      <c r="H23" s="3">
        <f t="shared" si="0"/>
        <v>3.03</v>
      </c>
    </row>
    <row r="24" spans="1:8" ht="15.75" customHeight="1" x14ac:dyDescent="0.25">
      <c r="A24" s="3" t="s">
        <v>59</v>
      </c>
      <c r="B24" s="4" t="s">
        <v>60</v>
      </c>
      <c r="C24" s="3" t="s">
        <v>236</v>
      </c>
      <c r="D24" s="3" t="s">
        <v>241</v>
      </c>
      <c r="E24" s="3" t="s">
        <v>238</v>
      </c>
      <c r="F24" s="3" t="s">
        <v>237</v>
      </c>
      <c r="G24" s="3" t="s">
        <v>243</v>
      </c>
      <c r="H24" s="3">
        <f t="shared" si="0"/>
        <v>3.23</v>
      </c>
    </row>
    <row r="25" spans="1:8" ht="15.75" customHeight="1" x14ac:dyDescent="0.25">
      <c r="A25" s="3" t="s">
        <v>61</v>
      </c>
      <c r="B25" s="4" t="s">
        <v>62</v>
      </c>
      <c r="C25" s="3" t="s">
        <v>235</v>
      </c>
      <c r="D25" s="3" t="s">
        <v>237</v>
      </c>
      <c r="E25" s="3" t="s">
        <v>243</v>
      </c>
      <c r="F25" s="3" t="s">
        <v>237</v>
      </c>
      <c r="G25" s="3" t="s">
        <v>239</v>
      </c>
      <c r="H25" s="3">
        <f t="shared" si="0"/>
        <v>2.77</v>
      </c>
    </row>
    <row r="26" spans="1:8" ht="15.75" customHeight="1" x14ac:dyDescent="0.25">
      <c r="A26" s="3" t="s">
        <v>63</v>
      </c>
      <c r="B26" s="4" t="s">
        <v>64</v>
      </c>
      <c r="C26" s="3" t="s">
        <v>244</v>
      </c>
      <c r="D26" s="3" t="s">
        <v>239</v>
      </c>
      <c r="E26" s="3" t="s">
        <v>244</v>
      </c>
      <c r="F26" s="3" t="s">
        <v>244</v>
      </c>
      <c r="G26" s="3" t="s">
        <v>244</v>
      </c>
      <c r="H26" s="3">
        <f t="shared" si="0"/>
        <v>1.94</v>
      </c>
    </row>
    <row r="27" spans="1:8" ht="15.75" customHeight="1" x14ac:dyDescent="0.25">
      <c r="A27" s="3" t="s">
        <v>65</v>
      </c>
      <c r="B27" s="4" t="s">
        <v>66</v>
      </c>
      <c r="C27" s="3" t="s">
        <v>235</v>
      </c>
      <c r="D27" s="3" t="s">
        <v>243</v>
      </c>
      <c r="E27" s="3" t="s">
        <v>244</v>
      </c>
      <c r="F27" s="3" t="s">
        <v>238</v>
      </c>
      <c r="G27" s="3" t="s">
        <v>239</v>
      </c>
      <c r="H27" s="3">
        <f t="shared" si="0"/>
        <v>2.5099999999999998</v>
      </c>
    </row>
    <row r="28" spans="1:8" ht="15.75" customHeight="1" x14ac:dyDescent="0.25">
      <c r="A28" s="3" t="s">
        <v>67</v>
      </c>
      <c r="B28" s="4" t="s">
        <v>68</v>
      </c>
      <c r="C28" s="3" t="s">
        <v>242</v>
      </c>
      <c r="D28" s="3" t="s">
        <v>241</v>
      </c>
      <c r="E28" s="3" t="s">
        <v>242</v>
      </c>
      <c r="F28" s="3" t="s">
        <v>241</v>
      </c>
      <c r="G28" s="3" t="s">
        <v>235</v>
      </c>
      <c r="H28" s="3">
        <f t="shared" si="0"/>
        <v>3.91</v>
      </c>
    </row>
    <row r="29" spans="1:8" ht="15.75" customHeight="1" x14ac:dyDescent="0.25">
      <c r="A29" s="3" t="s">
        <v>69</v>
      </c>
      <c r="B29" s="4" t="s">
        <v>70</v>
      </c>
      <c r="C29" s="3" t="s">
        <v>242</v>
      </c>
      <c r="D29" s="3" t="s">
        <v>241</v>
      </c>
      <c r="E29" s="3" t="s">
        <v>242</v>
      </c>
      <c r="F29" s="3" t="s">
        <v>242</v>
      </c>
      <c r="G29" s="3" t="s">
        <v>237</v>
      </c>
      <c r="H29" s="3">
        <f t="shared" si="0"/>
        <v>3.87</v>
      </c>
    </row>
    <row r="30" spans="1:8" ht="15.75" customHeight="1" x14ac:dyDescent="0.25">
      <c r="A30" s="3" t="s">
        <v>71</v>
      </c>
      <c r="B30" s="4" t="s">
        <v>72</v>
      </c>
      <c r="C30" s="3" t="s">
        <v>242</v>
      </c>
      <c r="D30" s="3" t="s">
        <v>242</v>
      </c>
      <c r="E30" s="3" t="s">
        <v>241</v>
      </c>
      <c r="F30" s="3" t="s">
        <v>235</v>
      </c>
      <c r="G30" s="3" t="s">
        <v>244</v>
      </c>
      <c r="H30" s="3">
        <f t="shared" si="0"/>
        <v>3.59</v>
      </c>
    </row>
    <row r="31" spans="1:8" ht="15.75" customHeight="1" x14ac:dyDescent="0.25">
      <c r="A31" s="3" t="s">
        <v>73</v>
      </c>
      <c r="B31" s="4" t="s">
        <v>74</v>
      </c>
      <c r="C31" s="3" t="s">
        <v>238</v>
      </c>
      <c r="D31" s="3" t="s">
        <v>237</v>
      </c>
      <c r="E31" s="3" t="s">
        <v>244</v>
      </c>
      <c r="F31" s="3" t="s">
        <v>243</v>
      </c>
      <c r="G31" s="3" t="s">
        <v>243</v>
      </c>
      <c r="H31" s="3">
        <f t="shared" si="0"/>
        <v>2.4900000000000002</v>
      </c>
    </row>
    <row r="32" spans="1:8" ht="15.75" customHeight="1" x14ac:dyDescent="0.25">
      <c r="A32" s="3" t="s">
        <v>75</v>
      </c>
      <c r="B32" s="4" t="s">
        <v>76</v>
      </c>
      <c r="C32" s="3" t="s">
        <v>236</v>
      </c>
      <c r="D32" s="3" t="s">
        <v>238</v>
      </c>
      <c r="E32" s="3" t="s">
        <v>244</v>
      </c>
      <c r="F32" s="3" t="s">
        <v>244</v>
      </c>
      <c r="G32" s="3" t="s">
        <v>239</v>
      </c>
      <c r="H32" s="3">
        <f t="shared" si="0"/>
        <v>2.5499999999999998</v>
      </c>
    </row>
    <row r="33" spans="1:8" ht="15.75" customHeight="1" x14ac:dyDescent="0.25">
      <c r="A33" s="3" t="s">
        <v>77</v>
      </c>
      <c r="B33" s="4" t="s">
        <v>78</v>
      </c>
      <c r="C33" s="3" t="s">
        <v>242</v>
      </c>
      <c r="D33" s="3" t="s">
        <v>236</v>
      </c>
      <c r="E33" s="3" t="s">
        <v>235</v>
      </c>
      <c r="F33" s="3" t="s">
        <v>236</v>
      </c>
      <c r="G33" s="3" t="s">
        <v>239</v>
      </c>
      <c r="H33" s="3">
        <f t="shared" si="0"/>
        <v>3.43</v>
      </c>
    </row>
    <row r="34" spans="1:8" ht="15.75" customHeight="1" x14ac:dyDescent="0.25">
      <c r="A34" s="3" t="s">
        <v>79</v>
      </c>
      <c r="B34" s="4" t="s">
        <v>80</v>
      </c>
      <c r="C34" s="3" t="s">
        <v>238</v>
      </c>
      <c r="D34" s="3" t="s">
        <v>236</v>
      </c>
      <c r="E34" s="3" t="s">
        <v>243</v>
      </c>
      <c r="F34" s="3" t="s">
        <v>243</v>
      </c>
      <c r="G34" s="3" t="s">
        <v>244</v>
      </c>
      <c r="H34" s="3">
        <f t="shared" si="0"/>
        <v>2.65</v>
      </c>
    </row>
    <row r="35" spans="1:8" ht="15.75" customHeight="1" x14ac:dyDescent="0.25">
      <c r="A35" s="3" t="s">
        <v>81</v>
      </c>
      <c r="B35" s="4" t="s">
        <v>82</v>
      </c>
      <c r="C35" s="3" t="s">
        <v>242</v>
      </c>
      <c r="D35" s="3" t="s">
        <v>241</v>
      </c>
      <c r="E35" s="3" t="s">
        <v>242</v>
      </c>
      <c r="F35" s="3" t="s">
        <v>237</v>
      </c>
      <c r="G35" s="3" t="s">
        <v>237</v>
      </c>
      <c r="H35" s="3">
        <f t="shared" ref="H35:H66" si="1">IFERROR(
ROUND(
(
(IF(C35="A+", 4, IF(C35="A", 4, IF(C35="A-", 3.7, IF(C35="B+", 3.3, IF(C35="B", 3, IF(C35="B-", 2.7, IF(C35="C+", 2.3, IF(C35="C", 2, IF(C35="C-", 1.7, IF(C35="D+", 1.3, IF(C35="D", 1, IF(C35="E", 0, 0))))))))))))) * 4 +
(IF(D35="A+", 4, IF(D35="A", 4, IF(D35="A-", 3.7, IF(D35="B+", 3.3, IF(D35="B", 3, IF(D35="B-", 2.7, IF(D35="C+", 2.3, IF(D35="C", 2, IF(D35="C-", 1.7, IF(D35="D+", 1.3, IF(D35="D", 1, IF(D35="E", 0, 0))))))))))))) * 3 +
(IF(E35="A+", 4, IF(E35="A", 4, IF(E35="A-", 3.7, IF(E35="B+", 3.3, IF(E35="B", 3, IF(E35="B-", 2.7, IF(E35="C+", 2.3, IF(E35="C", 2, IF(E35="C-", 1.7, IF(E35="D+", 1.3, IF(E35="D", 1, IF(E35="E", 0, 0))))))))))))) * 3 +
(IF(F35="A+", 4, IF(F35="A", 4, IF(F35="A-", 3.7, IF(F35="B+", 3.3, IF(F35="B", 3, IF(F35="B-", 2.7, IF(F35="C+", 2.3, IF(F35="C", 2, IF(F35="C-", 1.7, IF(F35="D+", 1.3, IF(F35="D", 1, IF(F35="E", 0, 0))))))))))))) * 3 +
(IF(G35="A+", 4, IF(G35="A", 4, IF(G35="A-", 3.7, IF(G35="B+", 3.3, IF(G35="B", 3, IF(G35="B-", 2.7, IF(G35="C+", 2.3, IF(G35="C", 2, IF(G35="C-", 1.7, IF(G35="D+", 1.3, IF(G35="D", 1, IF(G35="E", 0, 0))))))))))))) *
2) /
(4 + 3 + 3 + 3 + 2),
2),
0)</f>
        <v>3.67</v>
      </c>
    </row>
    <row r="36" spans="1:8" ht="15.75" customHeight="1" x14ac:dyDescent="0.25">
      <c r="A36" s="3" t="s">
        <v>83</v>
      </c>
      <c r="B36" s="4" t="s">
        <v>84</v>
      </c>
      <c r="C36" s="3" t="s">
        <v>235</v>
      </c>
      <c r="D36" s="3" t="s">
        <v>235</v>
      </c>
      <c r="E36" s="3" t="s">
        <v>259</v>
      </c>
      <c r="F36" s="3" t="s">
        <v>238</v>
      </c>
      <c r="G36" s="3" t="s">
        <v>238</v>
      </c>
      <c r="H36" s="3">
        <f t="shared" si="1"/>
        <v>2.44</v>
      </c>
    </row>
    <row r="37" spans="1:8" ht="15.75" customHeight="1" x14ac:dyDescent="0.25">
      <c r="A37" s="3" t="s">
        <v>85</v>
      </c>
      <c r="B37" s="4" t="s">
        <v>86</v>
      </c>
      <c r="C37" s="3" t="s">
        <v>235</v>
      </c>
      <c r="D37" s="3" t="s">
        <v>238</v>
      </c>
      <c r="E37" s="3" t="s">
        <v>235</v>
      </c>
      <c r="F37" s="3" t="s">
        <v>236</v>
      </c>
      <c r="G37" s="3" t="s">
        <v>260</v>
      </c>
      <c r="H37" s="3">
        <f t="shared" si="1"/>
        <v>3.13</v>
      </c>
    </row>
    <row r="38" spans="1:8" ht="15.75" customHeight="1" x14ac:dyDescent="0.25">
      <c r="A38" s="3" t="s">
        <v>87</v>
      </c>
      <c r="B38" s="4" t="s">
        <v>88</v>
      </c>
      <c r="C38" s="3" t="s">
        <v>235</v>
      </c>
      <c r="D38" s="3" t="s">
        <v>237</v>
      </c>
      <c r="E38" s="3" t="s">
        <v>235</v>
      </c>
      <c r="F38" s="3" t="s">
        <v>243</v>
      </c>
      <c r="G38" s="3" t="s">
        <v>243</v>
      </c>
      <c r="H38" s="3">
        <f t="shared" si="1"/>
        <v>2.91</v>
      </c>
    </row>
    <row r="39" spans="1:8" ht="15.75" customHeight="1" x14ac:dyDescent="0.25">
      <c r="A39" s="3" t="s">
        <v>89</v>
      </c>
      <c r="B39" s="4" t="s">
        <v>90</v>
      </c>
      <c r="C39" s="3" t="s">
        <v>241</v>
      </c>
      <c r="D39" s="3" t="s">
        <v>236</v>
      </c>
      <c r="E39" s="3" t="s">
        <v>237</v>
      </c>
      <c r="F39" s="3" t="s">
        <v>235</v>
      </c>
      <c r="G39" s="3" t="s">
        <v>243</v>
      </c>
      <c r="H39" s="3">
        <f t="shared" si="1"/>
        <v>3.37</v>
      </c>
    </row>
    <row r="40" spans="1:8" ht="15.75" customHeight="1" x14ac:dyDescent="0.25">
      <c r="A40" s="3" t="s">
        <v>91</v>
      </c>
      <c r="B40" s="4" t="s">
        <v>92</v>
      </c>
      <c r="C40" s="3" t="s">
        <v>241</v>
      </c>
      <c r="D40" s="3" t="s">
        <v>236</v>
      </c>
      <c r="E40" s="3" t="s">
        <v>241</v>
      </c>
      <c r="F40" s="3" t="s">
        <v>235</v>
      </c>
      <c r="G40" s="3" t="s">
        <v>235</v>
      </c>
      <c r="H40" s="3">
        <f t="shared" si="1"/>
        <v>3.71</v>
      </c>
    </row>
    <row r="41" spans="1:8" ht="15.75" customHeight="1" x14ac:dyDescent="0.25">
      <c r="A41" s="3" t="s">
        <v>93</v>
      </c>
      <c r="B41" s="4" t="s">
        <v>94</v>
      </c>
      <c r="C41" s="3" t="s">
        <v>241</v>
      </c>
      <c r="D41" s="3" t="s">
        <v>241</v>
      </c>
      <c r="E41" s="3" t="s">
        <v>236</v>
      </c>
      <c r="F41" s="3" t="s">
        <v>236</v>
      </c>
      <c r="G41" s="3" t="s">
        <v>243</v>
      </c>
      <c r="H41" s="3">
        <f t="shared" si="1"/>
        <v>3.65</v>
      </c>
    </row>
    <row r="42" spans="1:8" ht="15.75" customHeight="1" x14ac:dyDescent="0.25">
      <c r="A42" s="3" t="s">
        <v>95</v>
      </c>
      <c r="B42" s="4" t="s">
        <v>96</v>
      </c>
      <c r="C42" s="3" t="s">
        <v>241</v>
      </c>
      <c r="D42" s="3" t="s">
        <v>241</v>
      </c>
      <c r="E42" s="3" t="s">
        <v>235</v>
      </c>
      <c r="F42" s="3" t="s">
        <v>236</v>
      </c>
      <c r="G42" s="3" t="s">
        <v>235</v>
      </c>
      <c r="H42" s="3">
        <f t="shared" si="1"/>
        <v>3.71</v>
      </c>
    </row>
    <row r="43" spans="1:8" ht="15.75" customHeight="1" x14ac:dyDescent="0.25">
      <c r="A43" s="3" t="s">
        <v>97</v>
      </c>
      <c r="B43" s="4" t="s">
        <v>98</v>
      </c>
      <c r="C43" s="3" t="s">
        <v>242</v>
      </c>
      <c r="D43" s="3" t="s">
        <v>236</v>
      </c>
      <c r="E43" s="3" t="s">
        <v>242</v>
      </c>
      <c r="F43" s="3" t="s">
        <v>241</v>
      </c>
      <c r="G43" s="3" t="s">
        <v>236</v>
      </c>
      <c r="H43" s="3">
        <f t="shared" si="1"/>
        <v>3.9</v>
      </c>
    </row>
    <row r="44" spans="1:8" ht="15.75" customHeight="1" x14ac:dyDescent="0.25">
      <c r="A44" s="3" t="s">
        <v>99</v>
      </c>
      <c r="B44" s="4" t="s">
        <v>100</v>
      </c>
      <c r="C44" s="3" t="s">
        <v>236</v>
      </c>
      <c r="D44" s="3" t="s">
        <v>242</v>
      </c>
      <c r="E44" s="3" t="s">
        <v>242</v>
      </c>
      <c r="F44" s="3" t="s">
        <v>241</v>
      </c>
      <c r="G44" s="3" t="s">
        <v>237</v>
      </c>
      <c r="H44" s="3">
        <f t="shared" si="1"/>
        <v>3.79</v>
      </c>
    </row>
    <row r="45" spans="1:8" ht="15.75" customHeight="1" x14ac:dyDescent="0.25">
      <c r="A45" s="3" t="s">
        <v>101</v>
      </c>
      <c r="B45" s="4" t="s">
        <v>102</v>
      </c>
      <c r="C45" s="3" t="s">
        <v>242</v>
      </c>
      <c r="D45" s="3" t="s">
        <v>241</v>
      </c>
      <c r="E45" s="3" t="s">
        <v>236</v>
      </c>
      <c r="F45" s="3" t="s">
        <v>236</v>
      </c>
      <c r="G45" s="3" t="s">
        <v>238</v>
      </c>
      <c r="H45" s="3">
        <f t="shared" si="1"/>
        <v>3.71</v>
      </c>
    </row>
    <row r="46" spans="1:8" ht="15.75" customHeight="1" x14ac:dyDescent="0.25">
      <c r="A46" s="3" t="s">
        <v>103</v>
      </c>
      <c r="B46" s="4" t="s">
        <v>104</v>
      </c>
      <c r="C46" s="3" t="s">
        <v>241</v>
      </c>
      <c r="D46" s="3" t="s">
        <v>236</v>
      </c>
      <c r="E46" s="3" t="s">
        <v>241</v>
      </c>
      <c r="F46" s="3" t="s">
        <v>236</v>
      </c>
      <c r="G46" s="3" t="s">
        <v>237</v>
      </c>
      <c r="H46" s="3">
        <f t="shared" si="1"/>
        <v>3.75</v>
      </c>
    </row>
    <row r="47" spans="1:8" ht="15.75" customHeight="1" x14ac:dyDescent="0.25">
      <c r="A47" s="3" t="s">
        <v>105</v>
      </c>
      <c r="B47" s="4" t="s">
        <v>106</v>
      </c>
      <c r="C47" s="3" t="s">
        <v>244</v>
      </c>
      <c r="D47" s="3" t="s">
        <v>243</v>
      </c>
      <c r="E47" s="3" t="s">
        <v>253</v>
      </c>
      <c r="F47" s="3" t="s">
        <v>244</v>
      </c>
      <c r="G47" s="3" t="s">
        <v>244</v>
      </c>
      <c r="H47" s="3">
        <f t="shared" si="1"/>
        <v>1.66</v>
      </c>
    </row>
    <row r="48" spans="1:8" ht="15.75" customHeight="1" x14ac:dyDescent="0.25">
      <c r="A48" s="3" t="s">
        <v>107</v>
      </c>
      <c r="B48" s="4" t="s">
        <v>108</v>
      </c>
      <c r="C48" s="3" t="s">
        <v>242</v>
      </c>
      <c r="D48" s="3" t="s">
        <v>236</v>
      </c>
      <c r="E48" s="3" t="s">
        <v>236</v>
      </c>
      <c r="F48" s="3" t="s">
        <v>236</v>
      </c>
      <c r="G48" s="3" t="s">
        <v>244</v>
      </c>
      <c r="H48" s="3">
        <f t="shared" si="1"/>
        <v>3.55</v>
      </c>
    </row>
    <row r="49" spans="1:8" ht="15.75" customHeight="1" x14ac:dyDescent="0.25">
      <c r="A49" s="3" t="s">
        <v>109</v>
      </c>
      <c r="B49" s="4" t="s">
        <v>110</v>
      </c>
      <c r="C49" s="3" t="s">
        <v>241</v>
      </c>
      <c r="D49" s="3" t="s">
        <v>236</v>
      </c>
      <c r="E49" s="3" t="s">
        <v>235</v>
      </c>
      <c r="F49" s="3" t="s">
        <v>236</v>
      </c>
      <c r="G49" s="3" t="s">
        <v>238</v>
      </c>
      <c r="H49" s="3">
        <f t="shared" si="1"/>
        <v>3.57</v>
      </c>
    </row>
    <row r="50" spans="1:8" ht="15.75" customHeight="1" x14ac:dyDescent="0.25">
      <c r="A50" s="3" t="s">
        <v>111</v>
      </c>
      <c r="B50" s="4" t="s">
        <v>112</v>
      </c>
      <c r="C50" s="3" t="s">
        <v>242</v>
      </c>
      <c r="D50" s="3" t="s">
        <v>241</v>
      </c>
      <c r="E50" s="3" t="s">
        <v>242</v>
      </c>
      <c r="F50" s="3" t="s">
        <v>241</v>
      </c>
      <c r="G50" s="3" t="s">
        <v>237</v>
      </c>
      <c r="H50" s="3">
        <f t="shared" si="1"/>
        <v>3.87</v>
      </c>
    </row>
    <row r="51" spans="1:8" ht="15.75" customHeight="1" x14ac:dyDescent="0.25">
      <c r="A51" s="3" t="s">
        <v>113</v>
      </c>
      <c r="B51" s="4" t="s">
        <v>114</v>
      </c>
      <c r="C51" s="3" t="s">
        <v>235</v>
      </c>
      <c r="D51" s="3" t="s">
        <v>238</v>
      </c>
      <c r="E51" s="3" t="s">
        <v>235</v>
      </c>
      <c r="F51" s="3" t="s">
        <v>238</v>
      </c>
      <c r="G51" s="3" t="s">
        <v>243</v>
      </c>
      <c r="H51" s="3">
        <f t="shared" si="1"/>
        <v>2.93</v>
      </c>
    </row>
    <row r="52" spans="1:8" ht="15.75" customHeight="1" x14ac:dyDescent="0.25">
      <c r="A52" s="3" t="s">
        <v>115</v>
      </c>
      <c r="B52" s="4" t="s">
        <v>116</v>
      </c>
      <c r="C52" s="3" t="s">
        <v>236</v>
      </c>
      <c r="D52" s="3" t="s">
        <v>241</v>
      </c>
      <c r="E52" s="3" t="s">
        <v>237</v>
      </c>
      <c r="F52" s="3" t="s">
        <v>238</v>
      </c>
      <c r="G52" s="3" t="s">
        <v>238</v>
      </c>
      <c r="H52" s="3">
        <f t="shared" si="1"/>
        <v>3.29</v>
      </c>
    </row>
    <row r="53" spans="1:8" ht="15.75" customHeight="1" x14ac:dyDescent="0.25">
      <c r="A53" s="3" t="s">
        <v>117</v>
      </c>
      <c r="B53" s="4" t="s">
        <v>118</v>
      </c>
      <c r="C53" s="3" t="s">
        <v>242</v>
      </c>
      <c r="D53" s="3" t="s">
        <v>241</v>
      </c>
      <c r="E53" s="3" t="s">
        <v>236</v>
      </c>
      <c r="F53" s="3" t="s">
        <v>242</v>
      </c>
      <c r="G53" s="3" t="s">
        <v>243</v>
      </c>
      <c r="H53" s="3">
        <f t="shared" si="1"/>
        <v>3.71</v>
      </c>
    </row>
    <row r="54" spans="1:8" ht="15.75" customHeight="1" x14ac:dyDescent="0.25">
      <c r="A54" s="3" t="s">
        <v>119</v>
      </c>
      <c r="B54" s="4" t="s">
        <v>120</v>
      </c>
      <c r="C54" s="3" t="s">
        <v>241</v>
      </c>
      <c r="D54" s="3" t="s">
        <v>243</v>
      </c>
      <c r="E54" s="3" t="s">
        <v>243</v>
      </c>
      <c r="F54" s="3" t="s">
        <v>238</v>
      </c>
      <c r="G54" s="3" t="s">
        <v>243</v>
      </c>
      <c r="H54" s="3">
        <f t="shared" si="1"/>
        <v>2.83</v>
      </c>
    </row>
    <row r="55" spans="1:8" ht="15.75" customHeight="1" x14ac:dyDescent="0.25">
      <c r="A55" s="3" t="s">
        <v>121</v>
      </c>
      <c r="B55" s="4" t="s">
        <v>122</v>
      </c>
      <c r="C55" s="3" t="s">
        <v>235</v>
      </c>
      <c r="D55" s="3" t="s">
        <v>238</v>
      </c>
      <c r="E55" s="3" t="s">
        <v>238</v>
      </c>
      <c r="F55" s="3" t="s">
        <v>243</v>
      </c>
      <c r="G55" s="3" t="s">
        <v>244</v>
      </c>
      <c r="H55" s="3">
        <f t="shared" si="1"/>
        <v>2.69</v>
      </c>
    </row>
    <row r="56" spans="1:8" ht="15.75" customHeight="1" x14ac:dyDescent="0.25">
      <c r="A56" s="3" t="s">
        <v>123</v>
      </c>
      <c r="B56" s="4" t="s">
        <v>124</v>
      </c>
      <c r="C56" s="3" t="s">
        <v>235</v>
      </c>
      <c r="D56" s="3" t="s">
        <v>237</v>
      </c>
      <c r="E56" s="3" t="s">
        <v>238</v>
      </c>
      <c r="F56" s="3" t="s">
        <v>238</v>
      </c>
      <c r="G56" s="3" t="s">
        <v>238</v>
      </c>
      <c r="H56" s="3">
        <f t="shared" si="1"/>
        <v>2.92</v>
      </c>
    </row>
    <row r="57" spans="1:8" ht="15.75" customHeight="1" x14ac:dyDescent="0.25">
      <c r="A57" s="3" t="s">
        <v>125</v>
      </c>
      <c r="B57" s="4" t="s">
        <v>126</v>
      </c>
      <c r="C57" s="3" t="s">
        <v>237</v>
      </c>
      <c r="D57" s="3" t="s">
        <v>236</v>
      </c>
      <c r="E57" s="3" t="s">
        <v>237</v>
      </c>
      <c r="F57" s="3" t="s">
        <v>235</v>
      </c>
      <c r="G57" s="3" t="s">
        <v>244</v>
      </c>
      <c r="H57" s="3">
        <f t="shared" si="1"/>
        <v>3.07</v>
      </c>
    </row>
    <row r="58" spans="1:8" ht="15.75" customHeight="1" x14ac:dyDescent="0.25">
      <c r="A58" s="3" t="s">
        <v>127</v>
      </c>
      <c r="B58" s="4" t="s">
        <v>261</v>
      </c>
      <c r="C58" s="3" t="s">
        <v>242</v>
      </c>
      <c r="D58" s="3" t="s">
        <v>236</v>
      </c>
      <c r="E58" s="3" t="s">
        <v>236</v>
      </c>
      <c r="F58" s="3" t="s">
        <v>242</v>
      </c>
      <c r="G58" s="3" t="s">
        <v>235</v>
      </c>
      <c r="H58" s="3">
        <f t="shared" si="1"/>
        <v>3.79</v>
      </c>
    </row>
    <row r="59" spans="1:8" ht="15.75" customHeight="1" x14ac:dyDescent="0.25">
      <c r="A59" s="3" t="s">
        <v>129</v>
      </c>
      <c r="B59" s="4" t="s">
        <v>130</v>
      </c>
      <c r="C59" s="3" t="s">
        <v>238</v>
      </c>
      <c r="D59" s="3" t="s">
        <v>238</v>
      </c>
      <c r="E59" s="3" t="s">
        <v>244</v>
      </c>
      <c r="F59" s="3" t="s">
        <v>237</v>
      </c>
      <c r="G59" s="3" t="s">
        <v>239</v>
      </c>
      <c r="H59" s="3">
        <f t="shared" si="1"/>
        <v>2.4900000000000002</v>
      </c>
    </row>
    <row r="60" spans="1:8" ht="15.75" customHeight="1" x14ac:dyDescent="0.25">
      <c r="A60" s="3" t="s">
        <v>131</v>
      </c>
      <c r="B60" s="4" t="s">
        <v>132</v>
      </c>
      <c r="C60" s="3" t="s">
        <v>237</v>
      </c>
      <c r="D60" s="3" t="s">
        <v>238</v>
      </c>
      <c r="E60" s="3" t="s">
        <v>252</v>
      </c>
      <c r="F60" s="3" t="s">
        <v>243</v>
      </c>
      <c r="G60" s="3" t="s">
        <v>239</v>
      </c>
      <c r="H60" s="3">
        <f t="shared" si="1"/>
        <v>2.23</v>
      </c>
    </row>
    <row r="61" spans="1:8" ht="15.75" customHeight="1" x14ac:dyDescent="0.25">
      <c r="A61" s="3" t="s">
        <v>133</v>
      </c>
      <c r="B61" s="4" t="s">
        <v>134</v>
      </c>
      <c r="C61" s="3" t="s">
        <v>238</v>
      </c>
      <c r="D61" s="3" t="s">
        <v>237</v>
      </c>
      <c r="E61" s="3" t="s">
        <v>243</v>
      </c>
      <c r="F61" s="3" t="s">
        <v>243</v>
      </c>
      <c r="G61" s="3" t="s">
        <v>239</v>
      </c>
      <c r="H61" s="3">
        <f t="shared" si="1"/>
        <v>2.4700000000000002</v>
      </c>
    </row>
    <row r="62" spans="1:8" ht="15.75" customHeight="1" x14ac:dyDescent="0.25">
      <c r="A62" s="3" t="s">
        <v>135</v>
      </c>
      <c r="B62" s="4" t="s">
        <v>136</v>
      </c>
      <c r="C62" s="3" t="s">
        <v>238</v>
      </c>
      <c r="D62" s="3" t="s">
        <v>237</v>
      </c>
      <c r="E62" s="3" t="s">
        <v>243</v>
      </c>
      <c r="F62" s="3" t="s">
        <v>243</v>
      </c>
      <c r="G62" s="3" t="s">
        <v>244</v>
      </c>
      <c r="H62" s="3">
        <f t="shared" si="1"/>
        <v>2.5099999999999998</v>
      </c>
    </row>
    <row r="63" spans="1:8" ht="15.75" customHeight="1" x14ac:dyDescent="0.25">
      <c r="A63" s="3" t="s">
        <v>137</v>
      </c>
      <c r="B63" s="4" t="s">
        <v>138</v>
      </c>
      <c r="C63" s="3" t="s">
        <v>244</v>
      </c>
      <c r="D63" s="3" t="s">
        <v>244</v>
      </c>
      <c r="E63" s="3" t="s">
        <v>253</v>
      </c>
      <c r="F63" s="3" t="s">
        <v>239</v>
      </c>
      <c r="G63" s="3" t="s">
        <v>239</v>
      </c>
      <c r="H63" s="3">
        <f t="shared" si="1"/>
        <v>1.5</v>
      </c>
    </row>
    <row r="64" spans="1:8" ht="15.75" customHeight="1" x14ac:dyDescent="0.25">
      <c r="A64" s="3" t="s">
        <v>139</v>
      </c>
      <c r="B64" s="4" t="s">
        <v>140</v>
      </c>
      <c r="C64" s="3" t="s">
        <v>237</v>
      </c>
      <c r="D64" s="3" t="s">
        <v>237</v>
      </c>
      <c r="E64" s="3" t="s">
        <v>237</v>
      </c>
      <c r="F64" s="3" t="s">
        <v>236</v>
      </c>
      <c r="G64" s="3" t="s">
        <v>244</v>
      </c>
      <c r="H64" s="3">
        <f t="shared" si="1"/>
        <v>3.01</v>
      </c>
    </row>
    <row r="65" spans="1:8" ht="15.75" customHeight="1" x14ac:dyDescent="0.25">
      <c r="A65" s="3" t="s">
        <v>141</v>
      </c>
      <c r="B65" s="4" t="s">
        <v>142</v>
      </c>
      <c r="C65" s="3" t="s">
        <v>238</v>
      </c>
      <c r="D65" s="3" t="s">
        <v>236</v>
      </c>
      <c r="E65" s="3" t="s">
        <v>244</v>
      </c>
      <c r="F65" s="3" t="s">
        <v>244</v>
      </c>
      <c r="G65" s="3" t="s">
        <v>243</v>
      </c>
      <c r="H65" s="3">
        <f t="shared" si="1"/>
        <v>2.57</v>
      </c>
    </row>
    <row r="66" spans="1:8" ht="15.75" customHeight="1" x14ac:dyDescent="0.25">
      <c r="A66" s="3" t="s">
        <v>143</v>
      </c>
      <c r="B66" s="4" t="s">
        <v>144</v>
      </c>
      <c r="C66" s="3" t="s">
        <v>237</v>
      </c>
      <c r="D66" s="3" t="s">
        <v>238</v>
      </c>
      <c r="E66" s="3" t="s">
        <v>237</v>
      </c>
      <c r="F66" s="3" t="s">
        <v>237</v>
      </c>
      <c r="G66" s="3" t="s">
        <v>238</v>
      </c>
      <c r="H66" s="3">
        <f t="shared" si="1"/>
        <v>2.9</v>
      </c>
    </row>
    <row r="67" spans="1:8" ht="15.75" customHeight="1" x14ac:dyDescent="0.25">
      <c r="A67" s="3" t="s">
        <v>145</v>
      </c>
      <c r="B67" s="4" t="s">
        <v>146</v>
      </c>
      <c r="C67" s="3" t="s">
        <v>236</v>
      </c>
      <c r="D67" s="3" t="s">
        <v>235</v>
      </c>
      <c r="E67" s="3" t="s">
        <v>236</v>
      </c>
      <c r="F67" s="3" t="s">
        <v>237</v>
      </c>
      <c r="G67" s="3" t="s">
        <v>239</v>
      </c>
      <c r="H67" s="3">
        <f t="shared" ref="H67:H98" si="2">IFERROR(
ROUND(
(
(IF(C67="A+", 4, IF(C67="A", 4, IF(C67="A-", 3.7, IF(C67="B+", 3.3, IF(C67="B", 3, IF(C67="B-", 2.7, IF(C67="C+", 2.3, IF(C67="C", 2, IF(C67="C-", 1.7, IF(C67="D+", 1.3, IF(C67="D", 1, IF(C67="E", 0, 0))))))))))))) * 4 +
(IF(D67="A+", 4, IF(D67="A", 4, IF(D67="A-", 3.7, IF(D67="B+", 3.3, IF(D67="B", 3, IF(D67="B-", 2.7, IF(D67="C+", 2.3, IF(D67="C", 2, IF(D67="C-", 1.7, IF(D67="D+", 1.3, IF(D67="D", 1, IF(D67="E", 0, 0))))))))))))) * 3 +
(IF(E67="A+", 4, IF(E67="A", 4, IF(E67="A-", 3.7, IF(E67="B+", 3.3, IF(E67="B", 3, IF(E67="B-", 2.7, IF(E67="C+", 2.3, IF(E67="C", 2, IF(E67="C-", 1.7, IF(E67="D+", 1.3, IF(E67="D", 1, IF(E67="E", 0, 0))))))))))))) * 3 +
(IF(F67="A+", 4, IF(F67="A", 4, IF(F67="A-", 3.7, IF(F67="B+", 3.3, IF(F67="B", 3, IF(F67="B-", 2.7, IF(F67="C+", 2.3, IF(F67="C", 2, IF(F67="C-", 1.7, IF(F67="D+", 1.3, IF(F67="D", 1, IF(F67="E", 0, 0))))))))))))) * 3 +
(IF(G67="A+", 4, IF(G67="A", 4, IF(G67="A-", 3.7, IF(G67="B+", 3.3, IF(G67="B", 3, IF(G67="B-", 2.7, IF(G67="C+", 2.3, IF(G67="C", 2, IF(G67="C-", 1.7, IF(G67="D+", 1.3, IF(G67="D", 1, IF(G67="E", 0, 0))))))))))))) *
2) /
(4 + 3 + 3 + 3 + 2),
2),
0)</f>
        <v>3.21</v>
      </c>
    </row>
    <row r="68" spans="1:8" ht="15.75" customHeight="1" x14ac:dyDescent="0.25">
      <c r="A68" s="3" t="s">
        <v>147</v>
      </c>
      <c r="B68" s="4" t="s">
        <v>148</v>
      </c>
      <c r="C68" s="3" t="s">
        <v>235</v>
      </c>
      <c r="D68" s="3" t="s">
        <v>236</v>
      </c>
      <c r="E68" s="3" t="s">
        <v>241</v>
      </c>
      <c r="F68" s="3" t="s">
        <v>236</v>
      </c>
      <c r="G68" s="3" t="s">
        <v>235</v>
      </c>
      <c r="H68" s="3">
        <f t="shared" si="2"/>
        <v>3.6</v>
      </c>
    </row>
    <row r="69" spans="1:8" ht="15.75" customHeight="1" x14ac:dyDescent="0.25">
      <c r="A69" s="3" t="s">
        <v>149</v>
      </c>
      <c r="B69" s="4" t="s">
        <v>150</v>
      </c>
      <c r="C69" s="3" t="s">
        <v>243</v>
      </c>
      <c r="D69" s="3" t="s">
        <v>238</v>
      </c>
      <c r="E69" s="3" t="s">
        <v>244</v>
      </c>
      <c r="F69" s="3" t="s">
        <v>243</v>
      </c>
      <c r="G69" s="3" t="s">
        <v>244</v>
      </c>
      <c r="H69" s="3">
        <f t="shared" si="2"/>
        <v>2.2799999999999998</v>
      </c>
    </row>
    <row r="70" spans="1:8" ht="15.75" customHeight="1" x14ac:dyDescent="0.25">
      <c r="A70" s="3" t="s">
        <v>151</v>
      </c>
      <c r="B70" s="4" t="s">
        <v>152</v>
      </c>
      <c r="C70" s="3" t="s">
        <v>238</v>
      </c>
      <c r="D70" s="3" t="s">
        <v>244</v>
      </c>
      <c r="E70" s="3" t="s">
        <v>253</v>
      </c>
      <c r="F70" s="3" t="s">
        <v>238</v>
      </c>
      <c r="G70" s="3" t="s">
        <v>243</v>
      </c>
      <c r="H70" s="3">
        <f t="shared" si="2"/>
        <v>1.97</v>
      </c>
    </row>
    <row r="71" spans="1:8" ht="15.75" customHeight="1" x14ac:dyDescent="0.25">
      <c r="A71" s="3" t="s">
        <v>153</v>
      </c>
      <c r="B71" s="4" t="s">
        <v>154</v>
      </c>
      <c r="C71" s="3" t="s">
        <v>244</v>
      </c>
      <c r="D71" s="3" t="s">
        <v>244</v>
      </c>
      <c r="E71" s="3" t="s">
        <v>239</v>
      </c>
      <c r="F71" s="3" t="s">
        <v>244</v>
      </c>
      <c r="G71" s="3" t="s">
        <v>239</v>
      </c>
      <c r="H71" s="3">
        <f t="shared" si="2"/>
        <v>1.9</v>
      </c>
    </row>
    <row r="72" spans="1:8" ht="15.75" customHeight="1" x14ac:dyDescent="0.25">
      <c r="A72" s="3" t="s">
        <v>155</v>
      </c>
      <c r="B72" s="4" t="s">
        <v>156</v>
      </c>
      <c r="C72" s="3" t="s">
        <v>242</v>
      </c>
      <c r="D72" s="3" t="s">
        <v>236</v>
      </c>
      <c r="E72" s="3" t="s">
        <v>235</v>
      </c>
      <c r="F72" s="3" t="s">
        <v>237</v>
      </c>
      <c r="G72" s="3" t="s">
        <v>235</v>
      </c>
      <c r="H72" s="3">
        <f t="shared" si="2"/>
        <v>3.51</v>
      </c>
    </row>
    <row r="73" spans="1:8" ht="15.75" customHeight="1" x14ac:dyDescent="0.25">
      <c r="A73" s="3" t="s">
        <v>157</v>
      </c>
      <c r="B73" s="4" t="s">
        <v>158</v>
      </c>
      <c r="C73" s="3" t="s">
        <v>237</v>
      </c>
      <c r="D73" s="3" t="s">
        <v>244</v>
      </c>
      <c r="E73" s="3" t="s">
        <v>238</v>
      </c>
      <c r="F73" s="3" t="s">
        <v>244</v>
      </c>
      <c r="G73" s="3" t="s">
        <v>244</v>
      </c>
      <c r="H73" s="3">
        <f t="shared" si="2"/>
        <v>2.41</v>
      </c>
    </row>
    <row r="74" spans="1:8" ht="15.75" customHeight="1" x14ac:dyDescent="0.25">
      <c r="A74" s="3" t="s">
        <v>159</v>
      </c>
      <c r="B74" s="4" t="s">
        <v>160</v>
      </c>
      <c r="C74" s="3" t="s">
        <v>235</v>
      </c>
      <c r="D74" s="3" t="s">
        <v>236</v>
      </c>
      <c r="E74" s="3" t="s">
        <v>238</v>
      </c>
      <c r="F74" s="3" t="s">
        <v>238</v>
      </c>
      <c r="G74" s="3" t="s">
        <v>238</v>
      </c>
      <c r="H74" s="3">
        <f t="shared" si="2"/>
        <v>3.06</v>
      </c>
    </row>
    <row r="75" spans="1:8" ht="15.75" customHeight="1" x14ac:dyDescent="0.25">
      <c r="A75" s="3" t="s">
        <v>161</v>
      </c>
      <c r="B75" s="4" t="s">
        <v>162</v>
      </c>
      <c r="C75" s="3" t="s">
        <v>235</v>
      </c>
      <c r="D75" s="3" t="s">
        <v>236</v>
      </c>
      <c r="E75" s="3" t="s">
        <v>237</v>
      </c>
      <c r="F75" s="3" t="s">
        <v>244</v>
      </c>
      <c r="G75" s="3"/>
      <c r="H75" s="3">
        <f t="shared" si="2"/>
        <v>2.62</v>
      </c>
    </row>
    <row r="76" spans="1:8" ht="15.75" customHeight="1" x14ac:dyDescent="0.25">
      <c r="A76" s="3" t="s">
        <v>163</v>
      </c>
      <c r="B76" s="4" t="s">
        <v>164</v>
      </c>
      <c r="C76" s="3" t="s">
        <v>237</v>
      </c>
      <c r="D76" s="3" t="s">
        <v>237</v>
      </c>
      <c r="E76" s="3" t="s">
        <v>235</v>
      </c>
      <c r="F76" s="3" t="s">
        <v>238</v>
      </c>
      <c r="G76" s="3" t="s">
        <v>243</v>
      </c>
      <c r="H76" s="3">
        <f t="shared" si="2"/>
        <v>2.91</v>
      </c>
    </row>
    <row r="77" spans="1:8" ht="15.75" customHeight="1" x14ac:dyDescent="0.25">
      <c r="A77" s="3" t="s">
        <v>165</v>
      </c>
      <c r="B77" s="4" t="s">
        <v>166</v>
      </c>
      <c r="C77" s="3" t="s">
        <v>238</v>
      </c>
      <c r="D77" s="3" t="s">
        <v>244</v>
      </c>
      <c r="E77" s="3" t="s">
        <v>244</v>
      </c>
      <c r="F77" s="3" t="s">
        <v>244</v>
      </c>
      <c r="G77" s="3" t="s">
        <v>244</v>
      </c>
      <c r="H77" s="3">
        <f t="shared" si="2"/>
        <v>2.19</v>
      </c>
    </row>
    <row r="78" spans="1:8" ht="15.75" customHeight="1" x14ac:dyDescent="0.25">
      <c r="A78" s="3" t="s">
        <v>167</v>
      </c>
      <c r="B78" s="4" t="s">
        <v>168</v>
      </c>
      <c r="C78" s="3" t="s">
        <v>235</v>
      </c>
      <c r="D78" s="3" t="s">
        <v>236</v>
      </c>
      <c r="E78" s="3" t="s">
        <v>235</v>
      </c>
      <c r="F78" s="3" t="s">
        <v>243</v>
      </c>
      <c r="G78" s="3" t="s">
        <v>238</v>
      </c>
      <c r="H78" s="3">
        <f t="shared" si="2"/>
        <v>3.1</v>
      </c>
    </row>
    <row r="79" spans="1:8" ht="15.75" customHeight="1" x14ac:dyDescent="0.25">
      <c r="A79" s="3" t="s">
        <v>169</v>
      </c>
      <c r="B79" s="4" t="s">
        <v>170</v>
      </c>
      <c r="C79" s="3" t="s">
        <v>236</v>
      </c>
      <c r="D79" s="3" t="s">
        <v>235</v>
      </c>
      <c r="E79" s="3" t="s">
        <v>235</v>
      </c>
      <c r="F79" s="3" t="s">
        <v>235</v>
      </c>
      <c r="G79" s="3" t="s">
        <v>244</v>
      </c>
      <c r="H79" s="3">
        <f t="shared" si="2"/>
        <v>3.23</v>
      </c>
    </row>
    <row r="80" spans="1:8" ht="15.75" customHeight="1" x14ac:dyDescent="0.25">
      <c r="A80" s="3" t="s">
        <v>171</v>
      </c>
      <c r="B80" s="4" t="s">
        <v>172</v>
      </c>
      <c r="C80" s="3" t="s">
        <v>242</v>
      </c>
      <c r="D80" s="3" t="s">
        <v>236</v>
      </c>
      <c r="E80" s="3" t="s">
        <v>236</v>
      </c>
      <c r="F80" s="3" t="s">
        <v>236</v>
      </c>
      <c r="G80" s="3" t="s">
        <v>237</v>
      </c>
      <c r="H80" s="3">
        <f t="shared" si="2"/>
        <v>3.69</v>
      </c>
    </row>
    <row r="81" spans="1:8" ht="15.75" customHeight="1" x14ac:dyDescent="0.25">
      <c r="A81" s="3" t="s">
        <v>173</v>
      </c>
      <c r="B81" s="4" t="s">
        <v>174</v>
      </c>
      <c r="C81" s="3" t="s">
        <v>242</v>
      </c>
      <c r="D81" s="3" t="s">
        <v>236</v>
      </c>
      <c r="E81" s="3" t="s">
        <v>236</v>
      </c>
      <c r="F81" s="3" t="s">
        <v>236</v>
      </c>
      <c r="G81" s="3" t="s">
        <v>238</v>
      </c>
      <c r="H81" s="3">
        <f t="shared" si="2"/>
        <v>3.65</v>
      </c>
    </row>
    <row r="82" spans="1:8" ht="15.75" customHeight="1" x14ac:dyDescent="0.25">
      <c r="A82" s="3" t="s">
        <v>175</v>
      </c>
      <c r="B82" s="4" t="s">
        <v>176</v>
      </c>
      <c r="C82" s="3" t="s">
        <v>238</v>
      </c>
      <c r="D82" s="3" t="s">
        <v>236</v>
      </c>
      <c r="E82" s="3" t="s">
        <v>243</v>
      </c>
      <c r="F82" s="3" t="s">
        <v>244</v>
      </c>
      <c r="G82" s="3" t="s">
        <v>243</v>
      </c>
      <c r="H82" s="3">
        <f t="shared" si="2"/>
        <v>2.63</v>
      </c>
    </row>
    <row r="83" spans="1:8" ht="15.75" customHeight="1" x14ac:dyDescent="0.25">
      <c r="A83" s="3" t="s">
        <v>177</v>
      </c>
      <c r="B83" s="4" t="s">
        <v>178</v>
      </c>
      <c r="C83" s="3" t="s">
        <v>236</v>
      </c>
      <c r="D83" s="3" t="s">
        <v>235</v>
      </c>
      <c r="E83" s="3" t="s">
        <v>237</v>
      </c>
      <c r="F83" s="3" t="s">
        <v>235</v>
      </c>
      <c r="G83" s="3" t="s">
        <v>238</v>
      </c>
      <c r="H83" s="3">
        <f t="shared" si="2"/>
        <v>3.27</v>
      </c>
    </row>
    <row r="84" spans="1:8" ht="15.75" customHeight="1" x14ac:dyDescent="0.25">
      <c r="A84" s="3" t="s">
        <v>179</v>
      </c>
      <c r="B84" s="4" t="s">
        <v>180</v>
      </c>
      <c r="C84" s="3" t="s">
        <v>242</v>
      </c>
      <c r="D84" s="3" t="s">
        <v>237</v>
      </c>
      <c r="E84" s="3" t="s">
        <v>241</v>
      </c>
      <c r="F84" s="3" t="s">
        <v>236</v>
      </c>
      <c r="G84" s="3" t="s">
        <v>238</v>
      </c>
      <c r="H84" s="3">
        <f t="shared" si="2"/>
        <v>3.57</v>
      </c>
    </row>
    <row r="85" spans="1:8" ht="15.75" customHeight="1" x14ac:dyDescent="0.25">
      <c r="A85" s="3" t="s">
        <v>181</v>
      </c>
      <c r="B85" s="4" t="s">
        <v>182</v>
      </c>
      <c r="C85" s="3" t="s">
        <v>242</v>
      </c>
      <c r="D85" s="3" t="s">
        <v>241</v>
      </c>
      <c r="E85" s="3" t="s">
        <v>237</v>
      </c>
      <c r="F85" s="3" t="s">
        <v>236</v>
      </c>
      <c r="G85" s="3" t="s">
        <v>238</v>
      </c>
      <c r="H85" s="3">
        <f t="shared" si="2"/>
        <v>3.57</v>
      </c>
    </row>
    <row r="86" spans="1:8" ht="15.75" customHeight="1" x14ac:dyDescent="0.25">
      <c r="A86" s="3" t="s">
        <v>183</v>
      </c>
      <c r="B86" s="4" t="s">
        <v>184</v>
      </c>
      <c r="C86" s="3" t="s">
        <v>242</v>
      </c>
      <c r="D86" s="3" t="s">
        <v>241</v>
      </c>
      <c r="E86" s="3" t="s">
        <v>236</v>
      </c>
      <c r="F86" s="3" t="s">
        <v>236</v>
      </c>
      <c r="G86" s="3" t="s">
        <v>235</v>
      </c>
      <c r="H86" s="3">
        <f t="shared" si="2"/>
        <v>3.79</v>
      </c>
    </row>
    <row r="87" spans="1:8" ht="15.75" customHeight="1" x14ac:dyDescent="0.25">
      <c r="A87" s="3" t="s">
        <v>185</v>
      </c>
      <c r="B87" s="4" t="s">
        <v>186</v>
      </c>
      <c r="C87" s="3" t="s">
        <v>244</v>
      </c>
      <c r="D87" s="3" t="s">
        <v>243</v>
      </c>
      <c r="E87" s="3" t="s">
        <v>252</v>
      </c>
      <c r="F87" s="3" t="s">
        <v>238</v>
      </c>
      <c r="G87" s="3" t="s">
        <v>243</v>
      </c>
      <c r="H87" s="3">
        <f t="shared" si="2"/>
        <v>2.04</v>
      </c>
    </row>
    <row r="88" spans="1:8" ht="15.75" customHeight="1" x14ac:dyDescent="0.25">
      <c r="A88" s="3" t="s">
        <v>187</v>
      </c>
      <c r="B88" s="4" t="s">
        <v>188</v>
      </c>
      <c r="C88" s="3" t="s">
        <v>244</v>
      </c>
      <c r="D88" s="3" t="s">
        <v>238</v>
      </c>
      <c r="E88" s="3" t="s">
        <v>244</v>
      </c>
      <c r="F88" s="3" t="s">
        <v>243</v>
      </c>
      <c r="G88" s="3" t="s">
        <v>244</v>
      </c>
      <c r="H88" s="3">
        <f t="shared" si="2"/>
        <v>2.2000000000000002</v>
      </c>
    </row>
    <row r="89" spans="1:8" ht="15.75" customHeight="1" x14ac:dyDescent="0.25">
      <c r="A89" s="3" t="s">
        <v>189</v>
      </c>
      <c r="B89" s="4" t="s">
        <v>190</v>
      </c>
      <c r="C89" s="3" t="s">
        <v>243</v>
      </c>
      <c r="D89" s="3" t="s">
        <v>243</v>
      </c>
      <c r="E89" s="3" t="s">
        <v>244</v>
      </c>
      <c r="F89" s="3" t="s">
        <v>244</v>
      </c>
      <c r="G89" s="3" t="s">
        <v>239</v>
      </c>
      <c r="H89" s="3">
        <f t="shared" si="2"/>
        <v>2.1</v>
      </c>
    </row>
    <row r="90" spans="1:8" ht="15.75" customHeight="1" x14ac:dyDescent="0.25">
      <c r="A90" s="3" t="s">
        <v>191</v>
      </c>
      <c r="B90" s="4" t="s">
        <v>192</v>
      </c>
      <c r="C90" s="3" t="s">
        <v>240</v>
      </c>
      <c r="D90" s="3" t="s">
        <v>240</v>
      </c>
      <c r="E90" s="3" t="s">
        <v>240</v>
      </c>
      <c r="F90" s="3" t="s">
        <v>240</v>
      </c>
      <c r="G90" s="3" t="s">
        <v>240</v>
      </c>
      <c r="H90" s="3">
        <f t="shared" si="2"/>
        <v>0</v>
      </c>
    </row>
    <row r="91" spans="1:8" ht="15.75" customHeight="1" x14ac:dyDescent="0.25">
      <c r="A91" s="3" t="s">
        <v>193</v>
      </c>
      <c r="B91" s="4" t="s">
        <v>194</v>
      </c>
      <c r="C91" s="3" t="s">
        <v>236</v>
      </c>
      <c r="D91" s="3" t="s">
        <v>238</v>
      </c>
      <c r="E91" s="3" t="s">
        <v>236</v>
      </c>
      <c r="F91" s="3" t="s">
        <v>235</v>
      </c>
      <c r="G91" s="3" t="s">
        <v>238</v>
      </c>
      <c r="H91" s="3">
        <f t="shared" si="2"/>
        <v>3.29</v>
      </c>
    </row>
    <row r="92" spans="1:8" ht="15.75" customHeight="1" x14ac:dyDescent="0.25">
      <c r="A92" s="3" t="s">
        <v>195</v>
      </c>
      <c r="B92" s="4" t="s">
        <v>196</v>
      </c>
      <c r="C92" s="3" t="s">
        <v>236</v>
      </c>
      <c r="D92" s="3" t="s">
        <v>238</v>
      </c>
      <c r="E92" s="3" t="s">
        <v>235</v>
      </c>
      <c r="F92" s="3" t="s">
        <v>238</v>
      </c>
      <c r="G92" s="3" t="s">
        <v>244</v>
      </c>
      <c r="H92" s="3">
        <f t="shared" si="2"/>
        <v>2.99</v>
      </c>
    </row>
    <row r="93" spans="1:8" ht="15.75" customHeight="1" x14ac:dyDescent="0.25">
      <c r="A93" s="3" t="s">
        <v>197</v>
      </c>
      <c r="B93" s="4" t="s">
        <v>198</v>
      </c>
      <c r="C93" s="3" t="s">
        <v>242</v>
      </c>
      <c r="D93" s="3" t="s">
        <v>235</v>
      </c>
      <c r="E93" s="3" t="s">
        <v>241</v>
      </c>
      <c r="F93" s="3" t="s">
        <v>236</v>
      </c>
      <c r="G93" s="3" t="s">
        <v>238</v>
      </c>
      <c r="H93" s="3">
        <f t="shared" si="2"/>
        <v>3.63</v>
      </c>
    </row>
    <row r="94" spans="1:8" ht="15.75" customHeight="1" x14ac:dyDescent="0.25">
      <c r="A94" s="3" t="s">
        <v>199</v>
      </c>
      <c r="B94" s="4" t="s">
        <v>200</v>
      </c>
      <c r="C94" s="3" t="s">
        <v>238</v>
      </c>
      <c r="D94" s="3" t="s">
        <v>237</v>
      </c>
      <c r="E94" s="3" t="s">
        <v>243</v>
      </c>
      <c r="F94" s="3" t="s">
        <v>235</v>
      </c>
      <c r="G94" s="3" t="s">
        <v>237</v>
      </c>
      <c r="H94" s="3">
        <f t="shared" si="2"/>
        <v>2.84</v>
      </c>
    </row>
    <row r="95" spans="1:8" ht="15.75" customHeight="1" x14ac:dyDescent="0.25">
      <c r="A95" s="3" t="s">
        <v>201</v>
      </c>
      <c r="B95" s="4" t="s">
        <v>202</v>
      </c>
      <c r="C95" s="3" t="s">
        <v>237</v>
      </c>
      <c r="D95" s="3" t="s">
        <v>235</v>
      </c>
      <c r="E95" s="3" t="s">
        <v>238</v>
      </c>
      <c r="F95" s="3" t="s">
        <v>235</v>
      </c>
      <c r="G95" s="3" t="s">
        <v>239</v>
      </c>
      <c r="H95" s="3">
        <f t="shared" si="2"/>
        <v>2.89</v>
      </c>
    </row>
    <row r="96" spans="1:8" ht="15.75" customHeight="1" x14ac:dyDescent="0.25">
      <c r="A96" s="3" t="s">
        <v>203</v>
      </c>
      <c r="B96" s="4" t="s">
        <v>204</v>
      </c>
      <c r="C96" s="3" t="s">
        <v>241</v>
      </c>
      <c r="D96" s="3" t="s">
        <v>236</v>
      </c>
      <c r="E96" s="3" t="s">
        <v>235</v>
      </c>
      <c r="F96" s="3" t="s">
        <v>236</v>
      </c>
      <c r="G96" s="3" t="s">
        <v>237</v>
      </c>
      <c r="H96" s="3">
        <f t="shared" si="2"/>
        <v>3.61</v>
      </c>
    </row>
    <row r="97" spans="1:8" ht="15.75" customHeight="1" x14ac:dyDescent="0.25">
      <c r="A97" s="3" t="s">
        <v>205</v>
      </c>
      <c r="B97" s="4" t="s">
        <v>206</v>
      </c>
      <c r="C97" s="3" t="s">
        <v>237</v>
      </c>
      <c r="D97" s="3" t="s">
        <v>238</v>
      </c>
      <c r="E97" s="3" t="s">
        <v>235</v>
      </c>
      <c r="F97" s="3" t="s">
        <v>237</v>
      </c>
      <c r="G97" s="3" t="s">
        <v>238</v>
      </c>
      <c r="H97" s="3">
        <f t="shared" si="2"/>
        <v>2.96</v>
      </c>
    </row>
    <row r="98" spans="1:8" ht="15.75" customHeight="1" x14ac:dyDescent="0.25">
      <c r="A98" s="3" t="s">
        <v>207</v>
      </c>
      <c r="B98" s="4" t="s">
        <v>208</v>
      </c>
      <c r="C98" s="3" t="s">
        <v>236</v>
      </c>
      <c r="D98" s="3" t="s">
        <v>235</v>
      </c>
      <c r="E98" s="3" t="s">
        <v>235</v>
      </c>
      <c r="F98" s="3" t="s">
        <v>235</v>
      </c>
      <c r="G98" s="3" t="s">
        <v>238</v>
      </c>
      <c r="H98" s="3">
        <f t="shared" si="2"/>
        <v>3.33</v>
      </c>
    </row>
    <row r="99" spans="1:8" ht="15.75" customHeight="1" x14ac:dyDescent="0.25">
      <c r="A99" s="3" t="s">
        <v>209</v>
      </c>
      <c r="B99" s="4" t="s">
        <v>210</v>
      </c>
      <c r="C99" s="3" t="s">
        <v>237</v>
      </c>
      <c r="D99" s="3" t="s">
        <v>238</v>
      </c>
      <c r="E99" s="3" t="s">
        <v>237</v>
      </c>
      <c r="F99" s="3" t="s">
        <v>238</v>
      </c>
      <c r="G99" s="3" t="s">
        <v>244</v>
      </c>
      <c r="H99" s="3">
        <f t="shared" ref="H99:H108" si="3">IFERROR(
ROUND(
(
(IF(C99="A+", 4, IF(C99="A", 4, IF(C99="A-", 3.7, IF(C99="B+", 3.3, IF(C99="B", 3, IF(C99="B-", 2.7, IF(C99="C+", 2.3, IF(C99="C", 2, IF(C99="C-", 1.7, IF(C99="D+", 1.3, IF(C99="D", 1, IF(C99="E", 0, 0))))))))))))) * 4 +
(IF(D99="A+", 4, IF(D99="A", 4, IF(D99="A-", 3.7, IF(D99="B+", 3.3, IF(D99="B", 3, IF(D99="B-", 2.7, IF(D99="C+", 2.3, IF(D99="C", 2, IF(D99="C-", 1.7, IF(D99="D+", 1.3, IF(D99="D", 1, IF(D99="E", 0, 0))))))))))))) * 3 +
(IF(E99="A+", 4, IF(E99="A", 4, IF(E99="A-", 3.7, IF(E99="B+", 3.3, IF(E99="B", 3, IF(E99="B-", 2.7, IF(E99="C+", 2.3, IF(E99="C", 2, IF(E99="C-", 1.7, IF(E99="D+", 1.3, IF(E99="D", 1, IF(E99="E", 0, 0))))))))))))) * 3 +
(IF(F99="A+", 4, IF(F99="A", 4, IF(F99="A-", 3.7, IF(F99="B+", 3.3, IF(F99="B", 3, IF(F99="B-", 2.7, IF(F99="C+", 2.3, IF(F99="C", 2, IF(F99="C-", 1.7, IF(F99="D+", 1.3, IF(F99="D", 1, IF(F99="E", 0, 0))))))))))))) * 3 +
(IF(G99="A+", 4, IF(G99="A", 4, IF(G99="A-", 3.7, IF(G99="B+", 3.3, IF(G99="B", 3, IF(G99="B-", 2.7, IF(G99="C+", 2.3, IF(G99="C", 2, IF(G99="C-", 1.7, IF(G99="D+", 1.3, IF(G99="D", 1, IF(G99="E", 0, 0))))))))))))) *
2) /
(4 + 3 + 3 + 3 + 2),
2),
0)</f>
        <v>2.75</v>
      </c>
    </row>
    <row r="100" spans="1:8" ht="15.75" customHeight="1" x14ac:dyDescent="0.25">
      <c r="A100" s="3" t="s">
        <v>211</v>
      </c>
      <c r="B100" s="4" t="s">
        <v>212</v>
      </c>
      <c r="C100" s="3" t="s">
        <v>235</v>
      </c>
      <c r="D100" s="3" t="s">
        <v>235</v>
      </c>
      <c r="E100" s="3" t="s">
        <v>237</v>
      </c>
      <c r="F100" s="3" t="s">
        <v>238</v>
      </c>
      <c r="G100" s="3" t="s">
        <v>243</v>
      </c>
      <c r="H100" s="3">
        <f t="shared" si="3"/>
        <v>2.99</v>
      </c>
    </row>
    <row r="101" spans="1:8" ht="15.75" customHeight="1" x14ac:dyDescent="0.25">
      <c r="A101" s="3" t="s">
        <v>213</v>
      </c>
      <c r="B101" s="4" t="s">
        <v>214</v>
      </c>
      <c r="C101" s="3" t="s">
        <v>241</v>
      </c>
      <c r="D101" s="3" t="s">
        <v>235</v>
      </c>
      <c r="E101" s="3" t="s">
        <v>236</v>
      </c>
      <c r="F101" s="3" t="s">
        <v>237</v>
      </c>
      <c r="G101" s="3" t="s">
        <v>238</v>
      </c>
      <c r="H101" s="3">
        <f t="shared" si="3"/>
        <v>3.43</v>
      </c>
    </row>
    <row r="102" spans="1:8" ht="15.75" customHeight="1" x14ac:dyDescent="0.25">
      <c r="A102" s="3" t="s">
        <v>215</v>
      </c>
      <c r="B102" s="4" t="s">
        <v>216</v>
      </c>
      <c r="C102" s="3" t="s">
        <v>237</v>
      </c>
      <c r="D102" s="3" t="s">
        <v>238</v>
      </c>
      <c r="E102" s="3" t="s">
        <v>238</v>
      </c>
      <c r="F102" s="3" t="s">
        <v>243</v>
      </c>
      <c r="G102" s="3" t="s">
        <v>243</v>
      </c>
      <c r="H102" s="3">
        <f t="shared" si="3"/>
        <v>2.65</v>
      </c>
    </row>
    <row r="103" spans="1:8" ht="15.75" customHeight="1" x14ac:dyDescent="0.25">
      <c r="A103" s="3" t="s">
        <v>217</v>
      </c>
      <c r="B103" s="4" t="s">
        <v>218</v>
      </c>
      <c r="C103" s="3" t="s">
        <v>243</v>
      </c>
      <c r="D103" s="3" t="s">
        <v>237</v>
      </c>
      <c r="E103" s="3" t="s">
        <v>238</v>
      </c>
      <c r="F103" s="3" t="s">
        <v>238</v>
      </c>
      <c r="G103" s="3" t="s">
        <v>238</v>
      </c>
      <c r="H103" s="3">
        <f t="shared" si="3"/>
        <v>2.65</v>
      </c>
    </row>
    <row r="104" spans="1:8" ht="15.75" customHeight="1" x14ac:dyDescent="0.25">
      <c r="A104" s="3" t="s">
        <v>219</v>
      </c>
      <c r="B104" s="4" t="s">
        <v>220</v>
      </c>
      <c r="C104" s="3" t="s">
        <v>243</v>
      </c>
      <c r="D104" s="3" t="s">
        <v>244</v>
      </c>
      <c r="E104" s="3" t="s">
        <v>243</v>
      </c>
      <c r="F104" s="3" t="s">
        <v>238</v>
      </c>
      <c r="G104" s="3" t="s">
        <v>239</v>
      </c>
      <c r="H104" s="3">
        <f t="shared" si="3"/>
        <v>2.2400000000000002</v>
      </c>
    </row>
    <row r="105" spans="1:8" ht="15.75" customHeight="1" x14ac:dyDescent="0.25">
      <c r="A105" s="3" t="s">
        <v>221</v>
      </c>
      <c r="B105" s="4" t="s">
        <v>222</v>
      </c>
      <c r="C105" s="3" t="s">
        <v>242</v>
      </c>
      <c r="D105" s="3" t="s">
        <v>235</v>
      </c>
      <c r="E105" s="3" t="s">
        <v>236</v>
      </c>
      <c r="F105" s="3" t="s">
        <v>237</v>
      </c>
      <c r="G105" s="3" t="s">
        <v>235</v>
      </c>
      <c r="H105" s="3">
        <f t="shared" si="3"/>
        <v>3.51</v>
      </c>
    </row>
    <row r="106" spans="1:8" ht="15.75" customHeight="1" x14ac:dyDescent="0.25">
      <c r="A106" s="3" t="s">
        <v>223</v>
      </c>
      <c r="B106" s="4" t="s">
        <v>224</v>
      </c>
      <c r="C106" s="3" t="s">
        <v>235</v>
      </c>
      <c r="D106" s="3" t="s">
        <v>237</v>
      </c>
      <c r="E106" s="3" t="s">
        <v>235</v>
      </c>
      <c r="F106" s="3" t="s">
        <v>238</v>
      </c>
      <c r="G106" s="3" t="s">
        <v>244</v>
      </c>
      <c r="H106" s="3">
        <f t="shared" si="3"/>
        <v>2.95</v>
      </c>
    </row>
    <row r="107" spans="1:8" ht="15.75" customHeight="1" x14ac:dyDescent="0.25">
      <c r="A107" s="3" t="s">
        <v>225</v>
      </c>
      <c r="B107" s="4" t="s">
        <v>226</v>
      </c>
      <c r="C107" s="3" t="s">
        <v>242</v>
      </c>
      <c r="D107" s="3" t="s">
        <v>241</v>
      </c>
      <c r="E107" s="3" t="s">
        <v>235</v>
      </c>
      <c r="F107" s="3" t="s">
        <v>236</v>
      </c>
      <c r="G107" s="3" t="s">
        <v>239</v>
      </c>
      <c r="H107" s="3">
        <f t="shared" si="3"/>
        <v>3.49</v>
      </c>
    </row>
    <row r="108" spans="1:8" ht="15.75" customHeight="1" x14ac:dyDescent="0.25">
      <c r="A108" s="3" t="s">
        <v>227</v>
      </c>
      <c r="B108" s="4" t="s">
        <v>228</v>
      </c>
      <c r="C108" s="3" t="s">
        <v>236</v>
      </c>
      <c r="D108" s="3" t="s">
        <v>236</v>
      </c>
      <c r="E108" s="3" t="s">
        <v>237</v>
      </c>
      <c r="F108" s="3" t="s">
        <v>237</v>
      </c>
      <c r="G108" s="3" t="s">
        <v>237</v>
      </c>
      <c r="H108" s="3">
        <f t="shared" si="3"/>
        <v>3.33</v>
      </c>
    </row>
    <row r="109" spans="1:8" ht="15.75" customHeight="1" x14ac:dyDescent="0.25"/>
    <row r="110" spans="1:8" ht="15.75" customHeight="1" x14ac:dyDescent="0.25"/>
    <row r="111" spans="1:8" ht="15.75" customHeight="1" x14ac:dyDescent="0.25"/>
    <row r="112" spans="1: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/>
  </sheetViews>
  <sheetFormatPr defaultColWidth="14.42578125" defaultRowHeight="15" customHeight="1" x14ac:dyDescent="0.25"/>
  <cols>
    <col min="1" max="1" width="16.140625" customWidth="1"/>
    <col min="2" max="2" width="27.7109375" customWidth="1"/>
    <col min="3" max="7" width="8" customWidth="1"/>
    <col min="8" max="8" width="15" customWidth="1"/>
    <col min="9" max="26" width="8" customWidth="1"/>
  </cols>
  <sheetData>
    <row r="1" spans="1:8" x14ac:dyDescent="0.25">
      <c r="A1" s="2" t="s">
        <v>0</v>
      </c>
      <c r="B1" s="2" t="s">
        <v>1</v>
      </c>
      <c r="C1" s="6" t="s">
        <v>262</v>
      </c>
      <c r="D1" s="6" t="s">
        <v>263</v>
      </c>
      <c r="E1" s="6" t="s">
        <v>264</v>
      </c>
      <c r="F1" s="6" t="s">
        <v>265</v>
      </c>
      <c r="G1" s="6" t="s">
        <v>266</v>
      </c>
      <c r="H1" s="6" t="s">
        <v>234</v>
      </c>
    </row>
    <row r="2" spans="1:8" x14ac:dyDescent="0.25">
      <c r="A2" s="5" t="s">
        <v>15</v>
      </c>
      <c r="B2" s="4" t="s">
        <v>16</v>
      </c>
      <c r="C2" s="4" t="s">
        <v>237</v>
      </c>
      <c r="D2" s="4" t="s">
        <v>244</v>
      </c>
      <c r="E2" s="4" t="s">
        <v>244</v>
      </c>
      <c r="F2" s="4" t="s">
        <v>236</v>
      </c>
      <c r="G2" s="4" t="s">
        <v>238</v>
      </c>
      <c r="H2" s="4" t="e">
        <f>#VALUE!</f>
        <v>#VALUE!</v>
      </c>
    </row>
    <row r="3" spans="1:8" x14ac:dyDescent="0.25">
      <c r="A3" s="5" t="s">
        <v>17</v>
      </c>
      <c r="B3" s="4" t="s">
        <v>18</v>
      </c>
      <c r="C3" s="4" t="s">
        <v>240</v>
      </c>
      <c r="D3" s="4" t="s">
        <v>240</v>
      </c>
      <c r="E3" s="4" t="s">
        <v>240</v>
      </c>
      <c r="F3" s="4" t="s">
        <v>240</v>
      </c>
      <c r="G3" s="4" t="s">
        <v>240</v>
      </c>
      <c r="H3" s="4" t="e">
        <f>#VALUE!</f>
        <v>#VALUE!</v>
      </c>
    </row>
    <row r="4" spans="1:8" x14ac:dyDescent="0.25">
      <c r="A4" s="5" t="s">
        <v>19</v>
      </c>
      <c r="B4" s="4" t="s">
        <v>20</v>
      </c>
      <c r="C4" s="4" t="s">
        <v>236</v>
      </c>
      <c r="D4" s="4" t="s">
        <v>243</v>
      </c>
      <c r="E4" s="4" t="s">
        <v>244</v>
      </c>
      <c r="F4" s="4" t="s">
        <v>238</v>
      </c>
      <c r="G4" s="4" t="s">
        <v>243</v>
      </c>
      <c r="H4" s="4" t="e">
        <f>#VALUE!</f>
        <v>#VALUE!</v>
      </c>
    </row>
    <row r="5" spans="1:8" x14ac:dyDescent="0.25">
      <c r="A5" s="5" t="s">
        <v>21</v>
      </c>
      <c r="B5" s="4" t="s">
        <v>22</v>
      </c>
      <c r="C5" s="4" t="s">
        <v>235</v>
      </c>
      <c r="D5" s="4" t="s">
        <v>243</v>
      </c>
      <c r="E5" s="4" t="s">
        <v>244</v>
      </c>
      <c r="F5" s="4" t="s">
        <v>237</v>
      </c>
      <c r="G5" s="4" t="s">
        <v>238</v>
      </c>
      <c r="H5" s="4" t="e">
        <f>#VALUE!</f>
        <v>#VALUE!</v>
      </c>
    </row>
    <row r="6" spans="1:8" x14ac:dyDescent="0.25">
      <c r="A6" s="5" t="s">
        <v>23</v>
      </c>
      <c r="B6" s="4" t="s">
        <v>24</v>
      </c>
      <c r="C6" s="4" t="s">
        <v>242</v>
      </c>
      <c r="D6" s="4" t="s">
        <v>237</v>
      </c>
      <c r="E6" s="4" t="s">
        <v>237</v>
      </c>
      <c r="F6" s="4" t="s">
        <v>241</v>
      </c>
      <c r="G6" s="4" t="s">
        <v>235</v>
      </c>
      <c r="H6" s="4" t="e">
        <f>#VALUE!</f>
        <v>#VALUE!</v>
      </c>
    </row>
    <row r="7" spans="1:8" x14ac:dyDescent="0.25">
      <c r="A7" s="5" t="s">
        <v>25</v>
      </c>
      <c r="B7" s="4" t="s">
        <v>26</v>
      </c>
      <c r="C7" s="4" t="s">
        <v>242</v>
      </c>
      <c r="D7" s="4" t="s">
        <v>236</v>
      </c>
      <c r="E7" s="4" t="s">
        <v>238</v>
      </c>
      <c r="F7" s="4" t="s">
        <v>241</v>
      </c>
      <c r="G7" s="4" t="s">
        <v>242</v>
      </c>
      <c r="H7" s="4" t="e">
        <f>#VALUE!</f>
        <v>#VALUE!</v>
      </c>
    </row>
    <row r="8" spans="1:8" x14ac:dyDescent="0.25">
      <c r="A8" s="5" t="s">
        <v>27</v>
      </c>
      <c r="B8" s="4" t="s">
        <v>28</v>
      </c>
      <c r="C8" s="4" t="s">
        <v>237</v>
      </c>
      <c r="D8" s="4" t="s">
        <v>239</v>
      </c>
      <c r="E8" s="4" t="s">
        <v>244</v>
      </c>
      <c r="F8" s="4" t="s">
        <v>244</v>
      </c>
      <c r="G8" s="4" t="s">
        <v>244</v>
      </c>
      <c r="H8" s="4" t="e">
        <f>#VALUE!</f>
        <v>#VALUE!</v>
      </c>
    </row>
    <row r="9" spans="1:8" x14ac:dyDescent="0.25">
      <c r="A9" s="5" t="s">
        <v>29</v>
      </c>
      <c r="B9" s="4" t="s">
        <v>30</v>
      </c>
      <c r="C9" s="4" t="s">
        <v>244</v>
      </c>
      <c r="D9" s="4" t="s">
        <v>239</v>
      </c>
      <c r="E9" s="4" t="s">
        <v>239</v>
      </c>
      <c r="F9" s="4" t="s">
        <v>235</v>
      </c>
      <c r="G9" s="4" t="s">
        <v>238</v>
      </c>
      <c r="H9" s="4" t="e">
        <f>#VALUE!</f>
        <v>#VALUE!</v>
      </c>
    </row>
    <row r="10" spans="1:8" x14ac:dyDescent="0.25">
      <c r="A10" s="5" t="s">
        <v>31</v>
      </c>
      <c r="B10" s="4" t="s">
        <v>32</v>
      </c>
      <c r="C10" s="4" t="s">
        <v>235</v>
      </c>
      <c r="D10" s="4" t="s">
        <v>244</v>
      </c>
      <c r="E10" s="4" t="s">
        <v>244</v>
      </c>
      <c r="F10" s="4" t="s">
        <v>235</v>
      </c>
      <c r="G10" s="4" t="s">
        <v>236</v>
      </c>
      <c r="H10" s="4" t="e">
        <f>#VALUE!</f>
        <v>#VALUE!</v>
      </c>
    </row>
    <row r="11" spans="1:8" x14ac:dyDescent="0.25">
      <c r="A11" s="5" t="s">
        <v>33</v>
      </c>
      <c r="B11" s="4" t="s">
        <v>34</v>
      </c>
      <c r="C11" s="4" t="s">
        <v>235</v>
      </c>
      <c r="D11" s="4" t="s">
        <v>243</v>
      </c>
      <c r="E11" s="4" t="s">
        <v>244</v>
      </c>
      <c r="F11" s="4" t="s">
        <v>238</v>
      </c>
      <c r="G11" s="4" t="s">
        <v>237</v>
      </c>
      <c r="H11" s="4" t="e">
        <f>#VALUE!</f>
        <v>#VALUE!</v>
      </c>
    </row>
    <row r="12" spans="1:8" x14ac:dyDescent="0.25">
      <c r="A12" s="5" t="s">
        <v>35</v>
      </c>
      <c r="B12" s="4" t="s">
        <v>36</v>
      </c>
      <c r="C12" s="4" t="s">
        <v>237</v>
      </c>
      <c r="D12" s="4" t="s">
        <v>244</v>
      </c>
      <c r="E12" s="4" t="s">
        <v>244</v>
      </c>
      <c r="F12" s="4" t="s">
        <v>237</v>
      </c>
      <c r="G12" s="4" t="s">
        <v>238</v>
      </c>
      <c r="H12" s="4" t="e">
        <f>#VALUE!</f>
        <v>#VALUE!</v>
      </c>
    </row>
    <row r="13" spans="1:8" x14ac:dyDescent="0.25">
      <c r="A13" s="5" t="s">
        <v>37</v>
      </c>
      <c r="B13" s="4" t="s">
        <v>38</v>
      </c>
      <c r="C13" s="4" t="s">
        <v>235</v>
      </c>
      <c r="D13" s="4" t="s">
        <v>243</v>
      </c>
      <c r="E13" s="4" t="s">
        <v>239</v>
      </c>
      <c r="F13" s="4" t="s">
        <v>239</v>
      </c>
      <c r="G13" s="4" t="s">
        <v>238</v>
      </c>
      <c r="H13" s="4" t="e">
        <f>#VALUE!</f>
        <v>#VALUE!</v>
      </c>
    </row>
    <row r="14" spans="1:8" x14ac:dyDescent="0.25">
      <c r="A14" s="5" t="s">
        <v>39</v>
      </c>
      <c r="B14" s="4" t="s">
        <v>40</v>
      </c>
      <c r="C14" s="4" t="s">
        <v>237</v>
      </c>
      <c r="D14" s="4" t="s">
        <v>244</v>
      </c>
      <c r="E14" s="4" t="s">
        <v>239</v>
      </c>
      <c r="F14" s="4" t="s">
        <v>235</v>
      </c>
      <c r="G14" s="4" t="s">
        <v>241</v>
      </c>
      <c r="H14" s="4" t="e">
        <f>#VALUE!</f>
        <v>#VALUE!</v>
      </c>
    </row>
    <row r="15" spans="1:8" x14ac:dyDescent="0.25">
      <c r="A15" s="5" t="s">
        <v>41</v>
      </c>
      <c r="B15" s="4" t="s">
        <v>42</v>
      </c>
      <c r="C15" s="4" t="s">
        <v>237</v>
      </c>
      <c r="D15" s="4" t="s">
        <v>238</v>
      </c>
      <c r="E15" s="4" t="s">
        <v>244</v>
      </c>
      <c r="F15" s="4" t="s">
        <v>238</v>
      </c>
      <c r="G15" s="4" t="s">
        <v>236</v>
      </c>
      <c r="H15" s="4" t="e">
        <f>#VALUE!</f>
        <v>#VALUE!</v>
      </c>
    </row>
    <row r="16" spans="1:8" x14ac:dyDescent="0.25">
      <c r="A16" s="5" t="s">
        <v>43</v>
      </c>
      <c r="B16" s="4" t="s">
        <v>44</v>
      </c>
      <c r="C16" s="4" t="s">
        <v>237</v>
      </c>
      <c r="D16" s="4" t="s">
        <v>239</v>
      </c>
      <c r="E16" s="4" t="s">
        <v>267</v>
      </c>
      <c r="F16" s="4" t="s">
        <v>239</v>
      </c>
      <c r="G16" s="4" t="s">
        <v>244</v>
      </c>
      <c r="H16" s="4" t="e">
        <f>#VALUE!</f>
        <v>#VALUE!</v>
      </c>
    </row>
    <row r="17" spans="1:8" x14ac:dyDescent="0.25">
      <c r="A17" s="5" t="s">
        <v>45</v>
      </c>
      <c r="B17" s="4" t="s">
        <v>46</v>
      </c>
      <c r="C17" s="4" t="s">
        <v>241</v>
      </c>
      <c r="D17" s="4" t="s">
        <v>238</v>
      </c>
      <c r="E17" s="4" t="s">
        <v>243</v>
      </c>
      <c r="F17" s="4" t="s">
        <v>235</v>
      </c>
      <c r="G17" s="4" t="s">
        <v>236</v>
      </c>
      <c r="H17" s="4" t="e">
        <f>#VALUE!</f>
        <v>#VALUE!</v>
      </c>
    </row>
    <row r="18" spans="1:8" x14ac:dyDescent="0.25">
      <c r="A18" s="5" t="s">
        <v>47</v>
      </c>
      <c r="B18" s="4" t="s">
        <v>48</v>
      </c>
      <c r="C18" s="4" t="s">
        <v>242</v>
      </c>
      <c r="D18" s="4" t="s">
        <v>237</v>
      </c>
      <c r="E18" s="4" t="s">
        <v>238</v>
      </c>
      <c r="F18" s="4" t="s">
        <v>235</v>
      </c>
      <c r="G18" s="4" t="s">
        <v>242</v>
      </c>
      <c r="H18" s="4" t="e">
        <f>#VALUE!</f>
        <v>#VALUE!</v>
      </c>
    </row>
    <row r="19" spans="1:8" x14ac:dyDescent="0.25">
      <c r="A19" s="5" t="s">
        <v>49</v>
      </c>
      <c r="B19" s="4" t="s">
        <v>50</v>
      </c>
      <c r="C19" s="4" t="s">
        <v>235</v>
      </c>
      <c r="D19" s="4" t="s">
        <v>244</v>
      </c>
      <c r="E19" s="4" t="s">
        <v>244</v>
      </c>
      <c r="F19" s="4" t="s">
        <v>244</v>
      </c>
      <c r="G19" s="4" t="s">
        <v>244</v>
      </c>
      <c r="H19" s="4" t="e">
        <f>#VALUE!</f>
        <v>#VALUE!</v>
      </c>
    </row>
    <row r="20" spans="1:8" x14ac:dyDescent="0.25">
      <c r="A20" s="5" t="s">
        <v>51</v>
      </c>
      <c r="B20" s="4" t="s">
        <v>52</v>
      </c>
      <c r="C20" s="4" t="s">
        <v>236</v>
      </c>
      <c r="D20" s="4" t="s">
        <v>244</v>
      </c>
      <c r="E20" s="4" t="s">
        <v>243</v>
      </c>
      <c r="F20" s="4" t="s">
        <v>237</v>
      </c>
      <c r="G20" s="4" t="s">
        <v>235</v>
      </c>
      <c r="H20" s="4" t="e">
        <f>#VALUE!</f>
        <v>#VALUE!</v>
      </c>
    </row>
    <row r="21" spans="1:8" ht="15.75" customHeight="1" x14ac:dyDescent="0.25">
      <c r="A21" s="5" t="s">
        <v>53</v>
      </c>
      <c r="B21" s="4" t="s">
        <v>54</v>
      </c>
      <c r="C21" s="4" t="s">
        <v>242</v>
      </c>
      <c r="D21" s="4" t="s">
        <v>236</v>
      </c>
      <c r="E21" s="4" t="s">
        <v>237</v>
      </c>
      <c r="F21" s="4" t="s">
        <v>236</v>
      </c>
      <c r="G21" s="4" t="s">
        <v>235</v>
      </c>
      <c r="H21" s="4" t="e">
        <f>#VALUE!</f>
        <v>#VALUE!</v>
      </c>
    </row>
    <row r="22" spans="1:8" ht="15.75" customHeight="1" x14ac:dyDescent="0.25">
      <c r="A22" s="5" t="s">
        <v>55</v>
      </c>
      <c r="B22" s="4" t="s">
        <v>56</v>
      </c>
      <c r="C22" s="4" t="s">
        <v>235</v>
      </c>
      <c r="D22" s="4" t="s">
        <v>243</v>
      </c>
      <c r="E22" s="4" t="s">
        <v>244</v>
      </c>
      <c r="F22" s="4" t="s">
        <v>237</v>
      </c>
      <c r="G22" s="4" t="s">
        <v>236</v>
      </c>
      <c r="H22" s="4" t="e">
        <f>#VALUE!</f>
        <v>#VALUE!</v>
      </c>
    </row>
    <row r="23" spans="1:8" ht="15.75" customHeight="1" x14ac:dyDescent="0.25">
      <c r="A23" s="5" t="s">
        <v>57</v>
      </c>
      <c r="B23" s="4" t="s">
        <v>58</v>
      </c>
      <c r="C23" s="4" t="s">
        <v>235</v>
      </c>
      <c r="D23" s="4" t="s">
        <v>239</v>
      </c>
      <c r="E23" s="4" t="s">
        <v>239</v>
      </c>
      <c r="F23" s="4" t="s">
        <v>243</v>
      </c>
      <c r="G23" s="4" t="s">
        <v>243</v>
      </c>
      <c r="H23" s="4" t="e">
        <f>#VALUE!</f>
        <v>#VALUE!</v>
      </c>
    </row>
    <row r="24" spans="1:8" ht="15.75" customHeight="1" x14ac:dyDescent="0.25">
      <c r="A24" s="5" t="s">
        <v>59</v>
      </c>
      <c r="B24" s="4" t="s">
        <v>60</v>
      </c>
      <c r="C24" s="4" t="s">
        <v>241</v>
      </c>
      <c r="D24" s="4" t="s">
        <v>238</v>
      </c>
      <c r="E24" s="4" t="s">
        <v>239</v>
      </c>
      <c r="F24" s="4" t="s">
        <v>236</v>
      </c>
      <c r="G24" s="4" t="s">
        <v>236</v>
      </c>
      <c r="H24" s="4" t="e">
        <f>#VALUE!</f>
        <v>#VALUE!</v>
      </c>
    </row>
    <row r="25" spans="1:8" ht="15.75" customHeight="1" x14ac:dyDescent="0.25">
      <c r="A25" s="5" t="s">
        <v>61</v>
      </c>
      <c r="B25" s="4" t="s">
        <v>62</v>
      </c>
      <c r="C25" s="4" t="s">
        <v>237</v>
      </c>
      <c r="D25" s="4" t="s">
        <v>239</v>
      </c>
      <c r="E25" s="4" t="s">
        <v>244</v>
      </c>
      <c r="F25" s="4" t="s">
        <v>237</v>
      </c>
      <c r="G25" s="4" t="s">
        <v>243</v>
      </c>
      <c r="H25" s="4" t="e">
        <f>#VALUE!</f>
        <v>#VALUE!</v>
      </c>
    </row>
    <row r="26" spans="1:8" ht="15.75" customHeight="1" x14ac:dyDescent="0.25">
      <c r="A26" s="5" t="s">
        <v>63</v>
      </c>
      <c r="B26" s="4" t="s">
        <v>64</v>
      </c>
      <c r="C26" s="4" t="s">
        <v>253</v>
      </c>
      <c r="D26" s="4" t="s">
        <v>253</v>
      </c>
      <c r="E26" s="4" t="s">
        <v>253</v>
      </c>
      <c r="F26" s="4" t="s">
        <v>243</v>
      </c>
      <c r="G26" s="4" t="s">
        <v>244</v>
      </c>
      <c r="H26" s="4" t="e">
        <f>#VALUE!</f>
        <v>#VALUE!</v>
      </c>
    </row>
    <row r="27" spans="1:8" ht="15.75" customHeight="1" x14ac:dyDescent="0.25">
      <c r="A27" s="5" t="s">
        <v>65</v>
      </c>
      <c r="B27" s="4" t="s">
        <v>66</v>
      </c>
      <c r="C27" s="4" t="s">
        <v>237</v>
      </c>
      <c r="D27" s="4" t="s">
        <v>244</v>
      </c>
      <c r="E27" s="4" t="s">
        <v>239</v>
      </c>
      <c r="F27" s="4" t="s">
        <v>243</v>
      </c>
      <c r="G27" s="4" t="s">
        <v>244</v>
      </c>
      <c r="H27" s="4" t="e">
        <f>#VALUE!</f>
        <v>#VALUE!</v>
      </c>
    </row>
    <row r="28" spans="1:8" ht="15.75" customHeight="1" x14ac:dyDescent="0.25">
      <c r="A28" s="5" t="s">
        <v>67</v>
      </c>
      <c r="B28" s="4" t="s">
        <v>68</v>
      </c>
      <c r="C28" s="4" t="s">
        <v>241</v>
      </c>
      <c r="D28" s="4" t="s">
        <v>237</v>
      </c>
      <c r="E28" s="4" t="s">
        <v>237</v>
      </c>
      <c r="F28" s="4" t="s">
        <v>241</v>
      </c>
      <c r="G28" s="4" t="s">
        <v>236</v>
      </c>
      <c r="H28" s="4" t="e">
        <f>#VALUE!</f>
        <v>#VALUE!</v>
      </c>
    </row>
    <row r="29" spans="1:8" ht="15.75" customHeight="1" x14ac:dyDescent="0.25">
      <c r="A29" s="5" t="s">
        <v>69</v>
      </c>
      <c r="B29" s="4" t="s">
        <v>70</v>
      </c>
      <c r="C29" s="4" t="s">
        <v>241</v>
      </c>
      <c r="D29" s="4" t="s">
        <v>236</v>
      </c>
      <c r="E29" s="4" t="s">
        <v>238</v>
      </c>
      <c r="F29" s="4" t="s">
        <v>237</v>
      </c>
      <c r="G29" s="4" t="s">
        <v>241</v>
      </c>
      <c r="H29" s="4" t="e">
        <f>#VALUE!</f>
        <v>#VALUE!</v>
      </c>
    </row>
    <row r="30" spans="1:8" ht="15.75" customHeight="1" x14ac:dyDescent="0.25">
      <c r="A30" s="5" t="s">
        <v>71</v>
      </c>
      <c r="B30" s="4" t="s">
        <v>72</v>
      </c>
      <c r="C30" s="4" t="s">
        <v>236</v>
      </c>
      <c r="D30" s="4" t="s">
        <v>237</v>
      </c>
      <c r="E30" s="4" t="s">
        <v>236</v>
      </c>
      <c r="F30" s="4" t="s">
        <v>240</v>
      </c>
      <c r="G30" s="4" t="s">
        <v>243</v>
      </c>
      <c r="H30" s="4" t="e">
        <f>#VALUE!</f>
        <v>#VALUE!</v>
      </c>
    </row>
    <row r="31" spans="1:8" ht="15.75" customHeight="1" x14ac:dyDescent="0.25">
      <c r="A31" s="5" t="s">
        <v>73</v>
      </c>
      <c r="B31" s="4" t="s">
        <v>74</v>
      </c>
      <c r="C31" s="4" t="s">
        <v>238</v>
      </c>
      <c r="D31" s="4" t="s">
        <v>239</v>
      </c>
      <c r="E31" s="4" t="s">
        <v>239</v>
      </c>
      <c r="F31" s="4" t="s">
        <v>237</v>
      </c>
      <c r="G31" s="4" t="s">
        <v>243</v>
      </c>
      <c r="H31" s="4" t="e">
        <f>#VALUE!</f>
        <v>#VALUE!</v>
      </c>
    </row>
    <row r="32" spans="1:8" ht="15.75" customHeight="1" x14ac:dyDescent="0.25">
      <c r="A32" s="5" t="s">
        <v>75</v>
      </c>
      <c r="B32" s="4" t="s">
        <v>76</v>
      </c>
      <c r="C32" s="4" t="s">
        <v>236</v>
      </c>
      <c r="D32" s="4" t="s">
        <v>239</v>
      </c>
      <c r="E32" s="4" t="s">
        <v>252</v>
      </c>
      <c r="F32" s="4" t="s">
        <v>244</v>
      </c>
      <c r="G32" s="4" t="s">
        <v>238</v>
      </c>
      <c r="H32" s="4" t="e">
        <f>#VALUE!</f>
        <v>#VALUE!</v>
      </c>
    </row>
    <row r="33" spans="1:8" ht="15.75" customHeight="1" x14ac:dyDescent="0.25">
      <c r="A33" s="5" t="s">
        <v>77</v>
      </c>
      <c r="B33" s="4" t="s">
        <v>78</v>
      </c>
      <c r="C33" s="4" t="s">
        <v>236</v>
      </c>
      <c r="D33" s="4" t="s">
        <v>243</v>
      </c>
      <c r="E33" s="4" t="s">
        <v>239</v>
      </c>
      <c r="F33" s="4" t="s">
        <v>238</v>
      </c>
      <c r="G33" s="4" t="s">
        <v>237</v>
      </c>
      <c r="H33" s="4" t="e">
        <f>#VALUE!</f>
        <v>#VALUE!</v>
      </c>
    </row>
    <row r="34" spans="1:8" ht="15.75" customHeight="1" x14ac:dyDescent="0.25">
      <c r="A34" s="5" t="s">
        <v>79</v>
      </c>
      <c r="B34" s="4" t="s">
        <v>80</v>
      </c>
      <c r="C34" s="4" t="s">
        <v>237</v>
      </c>
      <c r="D34" s="4" t="s">
        <v>239</v>
      </c>
      <c r="E34" s="4" t="s">
        <v>239</v>
      </c>
      <c r="F34" s="4" t="s">
        <v>243</v>
      </c>
      <c r="G34" s="4" t="s">
        <v>235</v>
      </c>
      <c r="H34" s="4" t="e">
        <f>#VALUE!</f>
        <v>#VALUE!</v>
      </c>
    </row>
    <row r="35" spans="1:8" ht="15.75" customHeight="1" x14ac:dyDescent="0.25">
      <c r="A35" s="5" t="s">
        <v>81</v>
      </c>
      <c r="B35" s="4" t="s">
        <v>82</v>
      </c>
      <c r="C35" s="4" t="s">
        <v>241</v>
      </c>
      <c r="D35" s="4" t="s">
        <v>243</v>
      </c>
      <c r="E35" s="4" t="s">
        <v>243</v>
      </c>
      <c r="F35" s="4" t="s">
        <v>236</v>
      </c>
      <c r="G35" s="4" t="s">
        <v>236</v>
      </c>
      <c r="H35" s="4" t="e">
        <f>#VALUE!</f>
        <v>#VALUE!</v>
      </c>
    </row>
    <row r="36" spans="1:8" ht="15.75" customHeight="1" x14ac:dyDescent="0.25">
      <c r="A36" s="5" t="s">
        <v>83</v>
      </c>
      <c r="B36" s="4" t="s">
        <v>84</v>
      </c>
      <c r="C36" s="4" t="s">
        <v>236</v>
      </c>
      <c r="D36" s="4" t="s">
        <v>244</v>
      </c>
      <c r="E36" s="4" t="s">
        <v>244</v>
      </c>
      <c r="F36" s="4" t="s">
        <v>237</v>
      </c>
      <c r="G36" s="4" t="s">
        <v>237</v>
      </c>
      <c r="H36" s="4" t="e">
        <f>#VALUE!</f>
        <v>#VALUE!</v>
      </c>
    </row>
    <row r="37" spans="1:8" ht="15.75" customHeight="1" x14ac:dyDescent="0.25">
      <c r="A37" s="5" t="s">
        <v>85</v>
      </c>
      <c r="B37" s="4" t="s">
        <v>86</v>
      </c>
      <c r="C37" s="4" t="s">
        <v>236</v>
      </c>
      <c r="D37" s="4" t="s">
        <v>238</v>
      </c>
      <c r="E37" s="4" t="s">
        <v>244</v>
      </c>
      <c r="F37" s="4" t="s">
        <v>235</v>
      </c>
      <c r="G37" s="4" t="s">
        <v>237</v>
      </c>
      <c r="H37" s="4" t="e">
        <f>#VALUE!</f>
        <v>#VALUE!</v>
      </c>
    </row>
    <row r="38" spans="1:8" ht="15.75" customHeight="1" x14ac:dyDescent="0.25">
      <c r="A38" s="5" t="s">
        <v>87</v>
      </c>
      <c r="B38" s="4" t="s">
        <v>88</v>
      </c>
      <c r="C38" s="4" t="s">
        <v>235</v>
      </c>
      <c r="D38" s="4" t="s">
        <v>244</v>
      </c>
      <c r="E38" s="4" t="s">
        <v>243</v>
      </c>
      <c r="F38" s="4" t="s">
        <v>243</v>
      </c>
      <c r="G38" s="4" t="s">
        <v>238</v>
      </c>
      <c r="H38" s="4" t="e">
        <f>#VALUE!</f>
        <v>#VALUE!</v>
      </c>
    </row>
    <row r="39" spans="1:8" ht="15.75" customHeight="1" x14ac:dyDescent="0.25">
      <c r="A39" s="5" t="s">
        <v>89</v>
      </c>
      <c r="B39" s="4" t="s">
        <v>90</v>
      </c>
      <c r="C39" s="4" t="s">
        <v>236</v>
      </c>
      <c r="D39" s="4" t="s">
        <v>238</v>
      </c>
      <c r="E39" s="4" t="s">
        <v>238</v>
      </c>
      <c r="F39" s="4" t="s">
        <v>237</v>
      </c>
      <c r="G39" s="4" t="s">
        <v>236</v>
      </c>
      <c r="H39" s="4" t="e">
        <f>#VALUE!</f>
        <v>#VALUE!</v>
      </c>
    </row>
    <row r="40" spans="1:8" ht="15.75" customHeight="1" x14ac:dyDescent="0.25">
      <c r="A40" s="5" t="s">
        <v>91</v>
      </c>
      <c r="B40" s="4" t="s">
        <v>92</v>
      </c>
      <c r="C40" s="4" t="s">
        <v>241</v>
      </c>
      <c r="D40" s="4" t="s">
        <v>243</v>
      </c>
      <c r="E40" s="4" t="s">
        <v>243</v>
      </c>
      <c r="F40" s="4" t="s">
        <v>241</v>
      </c>
      <c r="G40" s="4" t="s">
        <v>242</v>
      </c>
      <c r="H40" s="4" t="e">
        <f>#VALUE!</f>
        <v>#VALUE!</v>
      </c>
    </row>
    <row r="41" spans="1:8" ht="15.75" customHeight="1" x14ac:dyDescent="0.25">
      <c r="A41" s="5" t="s">
        <v>93</v>
      </c>
      <c r="B41" s="4" t="s">
        <v>94</v>
      </c>
      <c r="C41" s="4" t="s">
        <v>236</v>
      </c>
      <c r="D41" s="4" t="s">
        <v>238</v>
      </c>
      <c r="E41" s="4" t="s">
        <v>243</v>
      </c>
      <c r="F41" s="4" t="s">
        <v>237</v>
      </c>
      <c r="G41" s="4" t="s">
        <v>235</v>
      </c>
      <c r="H41" s="4" t="e">
        <f>#VALUE!</f>
        <v>#VALUE!</v>
      </c>
    </row>
    <row r="42" spans="1:8" ht="15.75" customHeight="1" x14ac:dyDescent="0.25">
      <c r="A42" s="5" t="s">
        <v>95</v>
      </c>
      <c r="B42" s="4" t="s">
        <v>96</v>
      </c>
      <c r="C42" s="4" t="s">
        <v>241</v>
      </c>
      <c r="D42" s="4" t="s">
        <v>243</v>
      </c>
      <c r="E42" s="4" t="s">
        <v>243</v>
      </c>
      <c r="F42" s="4" t="s">
        <v>235</v>
      </c>
      <c r="G42" s="4" t="s">
        <v>237</v>
      </c>
      <c r="H42" s="4" t="e">
        <f>#VALUE!</f>
        <v>#VALUE!</v>
      </c>
    </row>
    <row r="43" spans="1:8" ht="15.75" customHeight="1" x14ac:dyDescent="0.25">
      <c r="A43" s="5" t="s">
        <v>97</v>
      </c>
      <c r="B43" s="4" t="s">
        <v>98</v>
      </c>
      <c r="C43" s="4" t="s">
        <v>241</v>
      </c>
      <c r="D43" s="4" t="s">
        <v>237</v>
      </c>
      <c r="E43" s="4" t="s">
        <v>235</v>
      </c>
      <c r="F43" s="4" t="s">
        <v>237</v>
      </c>
      <c r="G43" s="4" t="s">
        <v>237</v>
      </c>
      <c r="H43" s="4" t="e">
        <f>#VALUE!</f>
        <v>#VALUE!</v>
      </c>
    </row>
    <row r="44" spans="1:8" ht="15.75" customHeight="1" x14ac:dyDescent="0.25">
      <c r="A44" s="5" t="s">
        <v>99</v>
      </c>
      <c r="B44" s="4" t="s">
        <v>100</v>
      </c>
      <c r="C44" s="4" t="s">
        <v>241</v>
      </c>
      <c r="D44" s="4" t="s">
        <v>238</v>
      </c>
      <c r="E44" s="4" t="s">
        <v>238</v>
      </c>
      <c r="F44" s="4" t="s">
        <v>241</v>
      </c>
      <c r="G44" s="4" t="s">
        <v>241</v>
      </c>
      <c r="H44" s="4" t="e">
        <f>#VALUE!</f>
        <v>#VALUE!</v>
      </c>
    </row>
    <row r="45" spans="1:8" ht="15.75" customHeight="1" x14ac:dyDescent="0.25">
      <c r="A45" s="5" t="s">
        <v>101</v>
      </c>
      <c r="B45" s="4" t="s">
        <v>102</v>
      </c>
      <c r="C45" s="4" t="s">
        <v>242</v>
      </c>
      <c r="D45" s="4" t="s">
        <v>241</v>
      </c>
      <c r="E45" s="4" t="s">
        <v>243</v>
      </c>
      <c r="F45" s="4" t="s">
        <v>235</v>
      </c>
      <c r="G45" s="4" t="s">
        <v>241</v>
      </c>
      <c r="H45" s="4" t="e">
        <f>#VALUE!</f>
        <v>#VALUE!</v>
      </c>
    </row>
    <row r="46" spans="1:8" ht="15.75" customHeight="1" x14ac:dyDescent="0.25">
      <c r="A46" s="5" t="s">
        <v>103</v>
      </c>
      <c r="B46" s="4" t="s">
        <v>104</v>
      </c>
      <c r="C46" s="4" t="s">
        <v>235</v>
      </c>
      <c r="D46" s="4" t="s">
        <v>243</v>
      </c>
      <c r="E46" s="4" t="s">
        <v>244</v>
      </c>
      <c r="F46" s="4" t="s">
        <v>237</v>
      </c>
      <c r="G46" s="4" t="s">
        <v>237</v>
      </c>
      <c r="H46" s="4" t="e">
        <f>#VALUE!</f>
        <v>#VALUE!</v>
      </c>
    </row>
    <row r="47" spans="1:8" ht="15.75" customHeight="1" x14ac:dyDescent="0.25">
      <c r="A47" s="5" t="s">
        <v>105</v>
      </c>
      <c r="B47" s="4" t="s">
        <v>106</v>
      </c>
      <c r="C47" s="4" t="s">
        <v>243</v>
      </c>
      <c r="D47" s="4" t="s">
        <v>239</v>
      </c>
      <c r="E47" s="4" t="s">
        <v>253</v>
      </c>
      <c r="F47" s="4" t="s">
        <v>239</v>
      </c>
      <c r="G47" s="4" t="s">
        <v>243</v>
      </c>
      <c r="H47" s="4" t="e">
        <f>#VALUE!</f>
        <v>#VALUE!</v>
      </c>
    </row>
    <row r="48" spans="1:8" ht="15.75" customHeight="1" x14ac:dyDescent="0.25">
      <c r="A48" s="5" t="s">
        <v>107</v>
      </c>
      <c r="B48" s="4" t="s">
        <v>108</v>
      </c>
      <c r="C48" s="4" t="s">
        <v>241</v>
      </c>
      <c r="D48" s="4" t="s">
        <v>237</v>
      </c>
      <c r="E48" s="4" t="s">
        <v>237</v>
      </c>
      <c r="F48" s="4" t="s">
        <v>237</v>
      </c>
      <c r="G48" s="4" t="s">
        <v>235</v>
      </c>
      <c r="H48" s="4" t="e">
        <f>#VALUE!</f>
        <v>#VALUE!</v>
      </c>
    </row>
    <row r="49" spans="1:8" ht="15.75" customHeight="1" x14ac:dyDescent="0.25">
      <c r="A49" s="5" t="s">
        <v>109</v>
      </c>
      <c r="B49" s="4" t="s">
        <v>110</v>
      </c>
      <c r="C49" s="4" t="s">
        <v>238</v>
      </c>
      <c r="D49" s="4" t="s">
        <v>243</v>
      </c>
      <c r="E49" s="4" t="s">
        <v>244</v>
      </c>
      <c r="F49" s="4" t="s">
        <v>235</v>
      </c>
      <c r="G49" s="4" t="s">
        <v>243</v>
      </c>
      <c r="H49" s="4" t="e">
        <f>#VALUE!</f>
        <v>#VALUE!</v>
      </c>
    </row>
    <row r="50" spans="1:8" ht="15.75" customHeight="1" x14ac:dyDescent="0.25">
      <c r="A50" s="5" t="s">
        <v>111</v>
      </c>
      <c r="B50" s="4" t="s">
        <v>112</v>
      </c>
      <c r="C50" s="4" t="s">
        <v>242</v>
      </c>
      <c r="D50" s="4" t="s">
        <v>237</v>
      </c>
      <c r="E50" s="4" t="s">
        <v>238</v>
      </c>
      <c r="F50" s="4" t="s">
        <v>236</v>
      </c>
      <c r="G50" s="4" t="s">
        <v>235</v>
      </c>
      <c r="H50" s="4" t="e">
        <f>#VALUE!</f>
        <v>#VALUE!</v>
      </c>
    </row>
    <row r="51" spans="1:8" ht="15.75" customHeight="1" x14ac:dyDescent="0.25">
      <c r="A51" s="5" t="s">
        <v>113</v>
      </c>
      <c r="B51" s="4" t="s">
        <v>114</v>
      </c>
      <c r="C51" s="4" t="s">
        <v>236</v>
      </c>
      <c r="D51" s="4" t="s">
        <v>239</v>
      </c>
      <c r="E51" s="4" t="s">
        <v>238</v>
      </c>
      <c r="F51" s="4" t="s">
        <v>243</v>
      </c>
      <c r="G51" s="4" t="s">
        <v>238</v>
      </c>
      <c r="H51" s="4" t="e">
        <f>#VALUE!</f>
        <v>#VALUE!</v>
      </c>
    </row>
    <row r="52" spans="1:8" ht="15.75" customHeight="1" x14ac:dyDescent="0.25">
      <c r="A52" s="5" t="s">
        <v>115</v>
      </c>
      <c r="B52" s="4" t="s">
        <v>116</v>
      </c>
      <c r="C52" s="4" t="s">
        <v>237</v>
      </c>
      <c r="D52" s="4" t="s">
        <v>243</v>
      </c>
      <c r="E52" s="4" t="s">
        <v>238</v>
      </c>
      <c r="F52" s="4" t="s">
        <v>241</v>
      </c>
      <c r="G52" s="4" t="s">
        <v>235</v>
      </c>
      <c r="H52" s="4" t="e">
        <f>#VALUE!</f>
        <v>#VALUE!</v>
      </c>
    </row>
    <row r="53" spans="1:8" ht="15.75" customHeight="1" x14ac:dyDescent="0.25">
      <c r="A53" s="5" t="s">
        <v>117</v>
      </c>
      <c r="B53" s="4" t="s">
        <v>118</v>
      </c>
      <c r="C53" s="4" t="s">
        <v>242</v>
      </c>
      <c r="D53" s="4" t="s">
        <v>236</v>
      </c>
      <c r="E53" s="4" t="s">
        <v>243</v>
      </c>
      <c r="F53" s="4" t="s">
        <v>237</v>
      </c>
      <c r="G53" s="4" t="s">
        <v>236</v>
      </c>
      <c r="H53" s="4" t="e">
        <f>#VALUE!</f>
        <v>#VALUE!</v>
      </c>
    </row>
    <row r="54" spans="1:8" ht="15.75" customHeight="1" x14ac:dyDescent="0.25">
      <c r="A54" s="5" t="s">
        <v>119</v>
      </c>
      <c r="B54" s="4" t="s">
        <v>120</v>
      </c>
      <c r="C54" s="4" t="s">
        <v>241</v>
      </c>
      <c r="D54" s="4" t="s">
        <v>243</v>
      </c>
      <c r="E54" s="4" t="s">
        <v>238</v>
      </c>
      <c r="F54" s="4" t="s">
        <v>238</v>
      </c>
      <c r="G54" s="4" t="s">
        <v>238</v>
      </c>
      <c r="H54" s="4" t="e">
        <f>#VALUE!</f>
        <v>#VALUE!</v>
      </c>
    </row>
    <row r="55" spans="1:8" ht="15.75" customHeight="1" x14ac:dyDescent="0.25">
      <c r="A55" s="5" t="s">
        <v>121</v>
      </c>
      <c r="B55" s="4" t="s">
        <v>122</v>
      </c>
      <c r="C55" s="4" t="s">
        <v>243</v>
      </c>
      <c r="D55" s="4" t="s">
        <v>239</v>
      </c>
      <c r="E55" s="4" t="s">
        <v>244</v>
      </c>
      <c r="F55" s="4" t="s">
        <v>238</v>
      </c>
      <c r="G55" s="4" t="s">
        <v>239</v>
      </c>
      <c r="H55" s="4" t="e">
        <f>#VALUE!</f>
        <v>#VALUE!</v>
      </c>
    </row>
    <row r="56" spans="1:8" ht="15.75" customHeight="1" x14ac:dyDescent="0.25">
      <c r="A56" s="5" t="s">
        <v>123</v>
      </c>
      <c r="B56" s="4" t="s">
        <v>124</v>
      </c>
      <c r="C56" s="4" t="s">
        <v>235</v>
      </c>
      <c r="D56" s="4" t="s">
        <v>239</v>
      </c>
      <c r="E56" s="4" t="s">
        <v>238</v>
      </c>
      <c r="F56" s="4" t="s">
        <v>237</v>
      </c>
      <c r="G56" s="4" t="s">
        <v>237</v>
      </c>
      <c r="H56" s="4" t="e">
        <f>#VALUE!</f>
        <v>#VALUE!</v>
      </c>
    </row>
    <row r="57" spans="1:8" ht="15.75" customHeight="1" x14ac:dyDescent="0.25">
      <c r="A57" s="5" t="s">
        <v>125</v>
      </c>
      <c r="B57" s="4" t="s">
        <v>126</v>
      </c>
      <c r="C57" s="4" t="s">
        <v>236</v>
      </c>
      <c r="D57" s="4" t="s">
        <v>243</v>
      </c>
      <c r="E57" s="4" t="s">
        <v>238</v>
      </c>
      <c r="F57" s="4" t="s">
        <v>236</v>
      </c>
      <c r="G57" s="4" t="s">
        <v>241</v>
      </c>
      <c r="H57" s="4" t="e">
        <f>#VALUE!</f>
        <v>#VALUE!</v>
      </c>
    </row>
    <row r="58" spans="1:8" ht="15.75" customHeight="1" x14ac:dyDescent="0.25">
      <c r="A58" s="5" t="s">
        <v>127</v>
      </c>
      <c r="B58" s="4" t="s">
        <v>261</v>
      </c>
      <c r="C58" s="4" t="s">
        <v>242</v>
      </c>
      <c r="D58" s="4" t="s">
        <v>237</v>
      </c>
      <c r="E58" s="4" t="s">
        <v>237</v>
      </c>
      <c r="F58" s="4" t="s">
        <v>236</v>
      </c>
      <c r="G58" s="4" t="s">
        <v>242</v>
      </c>
      <c r="H58" s="4" t="e">
        <f>#VALUE!</f>
        <v>#VALUE!</v>
      </c>
    </row>
    <row r="59" spans="1:8" ht="15.75" customHeight="1" x14ac:dyDescent="0.25">
      <c r="A59" s="5" t="s">
        <v>129</v>
      </c>
      <c r="B59" s="4" t="s">
        <v>130</v>
      </c>
      <c r="C59" s="4" t="s">
        <v>236</v>
      </c>
      <c r="D59" s="4" t="s">
        <v>244</v>
      </c>
      <c r="E59" s="4" t="s">
        <v>252</v>
      </c>
      <c r="F59" s="4" t="s">
        <v>237</v>
      </c>
      <c r="G59" s="4" t="s">
        <v>237</v>
      </c>
      <c r="H59" s="4" t="e">
        <f>#VALUE!</f>
        <v>#VALUE!</v>
      </c>
    </row>
    <row r="60" spans="1:8" ht="15.75" customHeight="1" x14ac:dyDescent="0.25">
      <c r="A60" s="5" t="s">
        <v>131</v>
      </c>
      <c r="B60" s="4" t="s">
        <v>132</v>
      </c>
      <c r="C60" s="4" t="s">
        <v>235</v>
      </c>
      <c r="D60" s="4" t="s">
        <v>238</v>
      </c>
      <c r="E60" s="4" t="s">
        <v>243</v>
      </c>
      <c r="F60" s="4" t="s">
        <v>238</v>
      </c>
      <c r="G60" s="4" t="s">
        <v>238</v>
      </c>
      <c r="H60" s="4" t="e">
        <f>#VALUE!</f>
        <v>#VALUE!</v>
      </c>
    </row>
    <row r="61" spans="1:8" ht="15.75" customHeight="1" x14ac:dyDescent="0.25">
      <c r="A61" s="5" t="s">
        <v>133</v>
      </c>
      <c r="B61" s="4" t="s">
        <v>134</v>
      </c>
      <c r="C61" s="4" t="s">
        <v>244</v>
      </c>
      <c r="D61" s="4" t="s">
        <v>253</v>
      </c>
      <c r="E61" s="4" t="s">
        <v>243</v>
      </c>
      <c r="F61" s="4" t="s">
        <v>243</v>
      </c>
      <c r="G61" s="4" t="s">
        <v>244</v>
      </c>
      <c r="H61" s="4" t="e">
        <f>#VALUE!</f>
        <v>#VALUE!</v>
      </c>
    </row>
    <row r="62" spans="1:8" ht="15.75" customHeight="1" x14ac:dyDescent="0.25">
      <c r="A62" s="5" t="s">
        <v>135</v>
      </c>
      <c r="B62" s="4" t="s">
        <v>136</v>
      </c>
      <c r="C62" s="4" t="s">
        <v>243</v>
      </c>
      <c r="D62" s="4" t="s">
        <v>239</v>
      </c>
      <c r="E62" s="4" t="s">
        <v>253</v>
      </c>
      <c r="F62" s="4" t="s">
        <v>244</v>
      </c>
      <c r="G62" s="4" t="s">
        <v>239</v>
      </c>
      <c r="H62" s="4" t="e">
        <f>#VALUE!</f>
        <v>#VALUE!</v>
      </c>
    </row>
    <row r="63" spans="1:8" ht="15.75" customHeight="1" x14ac:dyDescent="0.25">
      <c r="A63" s="5" t="s">
        <v>137</v>
      </c>
      <c r="B63" s="4" t="s">
        <v>138</v>
      </c>
      <c r="C63" s="4" t="s">
        <v>239</v>
      </c>
      <c r="D63" s="4" t="s">
        <v>239</v>
      </c>
      <c r="E63" s="4" t="s">
        <v>253</v>
      </c>
      <c r="F63" s="4" t="s">
        <v>239</v>
      </c>
      <c r="G63" s="4" t="s">
        <v>239</v>
      </c>
      <c r="H63" s="4" t="e">
        <f>#VALUE!</f>
        <v>#VALUE!</v>
      </c>
    </row>
    <row r="64" spans="1:8" ht="15.75" customHeight="1" x14ac:dyDescent="0.25">
      <c r="A64" s="5" t="s">
        <v>139</v>
      </c>
      <c r="B64" s="4" t="s">
        <v>140</v>
      </c>
      <c r="C64" s="4" t="s">
        <v>242</v>
      </c>
      <c r="D64" s="4" t="s">
        <v>238</v>
      </c>
      <c r="E64" s="4" t="s">
        <v>239</v>
      </c>
      <c r="F64" s="4" t="s">
        <v>236</v>
      </c>
      <c r="G64" s="4" t="s">
        <v>241</v>
      </c>
      <c r="H64" s="4" t="e">
        <f>#VALUE!</f>
        <v>#VALUE!</v>
      </c>
    </row>
    <row r="65" spans="1:8" ht="15.75" customHeight="1" x14ac:dyDescent="0.25">
      <c r="A65" s="5" t="s">
        <v>141</v>
      </c>
      <c r="B65" s="4" t="s">
        <v>142</v>
      </c>
      <c r="C65" s="4" t="s">
        <v>243</v>
      </c>
      <c r="D65" s="4" t="s">
        <v>239</v>
      </c>
      <c r="E65" s="4" t="s">
        <v>244</v>
      </c>
      <c r="F65" s="4" t="s">
        <v>235</v>
      </c>
      <c r="G65" s="4" t="s">
        <v>241</v>
      </c>
      <c r="H65" s="4" t="e">
        <f>#VALUE!</f>
        <v>#VALUE!</v>
      </c>
    </row>
    <row r="66" spans="1:8" ht="15.75" customHeight="1" x14ac:dyDescent="0.25">
      <c r="A66" s="5" t="s">
        <v>143</v>
      </c>
      <c r="B66" s="4" t="s">
        <v>144</v>
      </c>
      <c r="C66" s="4" t="s">
        <v>238</v>
      </c>
      <c r="D66" s="4" t="s">
        <v>239</v>
      </c>
      <c r="E66" s="4" t="s">
        <v>244</v>
      </c>
      <c r="F66" s="4" t="s">
        <v>238</v>
      </c>
      <c r="G66" s="4" t="s">
        <v>238</v>
      </c>
      <c r="H66" s="4" t="e">
        <f>#VALUE!</f>
        <v>#VALUE!</v>
      </c>
    </row>
    <row r="67" spans="1:8" ht="15.75" customHeight="1" x14ac:dyDescent="0.25">
      <c r="A67" s="5" t="s">
        <v>145</v>
      </c>
      <c r="B67" s="4" t="s">
        <v>146</v>
      </c>
      <c r="C67" s="4" t="s">
        <v>235</v>
      </c>
      <c r="D67" s="4" t="s">
        <v>239</v>
      </c>
      <c r="E67" s="4" t="s">
        <v>244</v>
      </c>
      <c r="F67" s="4" t="s">
        <v>244</v>
      </c>
      <c r="G67" s="4" t="s">
        <v>243</v>
      </c>
      <c r="H67" s="4" t="e">
        <f>#VALUE!</f>
        <v>#VALUE!</v>
      </c>
    </row>
    <row r="68" spans="1:8" ht="15.75" customHeight="1" x14ac:dyDescent="0.25">
      <c r="A68" s="5" t="s">
        <v>147</v>
      </c>
      <c r="B68" s="4" t="s">
        <v>148</v>
      </c>
      <c r="C68" s="4" t="s">
        <v>235</v>
      </c>
      <c r="D68" s="4" t="s">
        <v>244</v>
      </c>
      <c r="E68" s="4" t="s">
        <v>244</v>
      </c>
      <c r="F68" s="4" t="s">
        <v>237</v>
      </c>
      <c r="G68" s="4" t="s">
        <v>236</v>
      </c>
      <c r="H68" s="4" t="e">
        <f>#VALUE!</f>
        <v>#VALUE!</v>
      </c>
    </row>
    <row r="69" spans="1:8" ht="15.75" customHeight="1" x14ac:dyDescent="0.25">
      <c r="A69" s="5" t="s">
        <v>149</v>
      </c>
      <c r="B69" s="4" t="s">
        <v>150</v>
      </c>
      <c r="C69" s="4" t="s">
        <v>239</v>
      </c>
      <c r="D69" s="4" t="s">
        <v>244</v>
      </c>
      <c r="E69" s="4" t="s">
        <v>244</v>
      </c>
      <c r="F69" s="4" t="s">
        <v>235</v>
      </c>
      <c r="G69" s="4" t="s">
        <v>242</v>
      </c>
      <c r="H69" s="4">
        <f>IFERROR(
    ROUND(
        (
            (IF(C2="A+", 4, IF(C2="A", 4, IF(C2="A-", 3.7, IF(C2="B+", 3.3, IF(C2="B", 3, IF(C2="B-", 2.7, IF(C2="C+", 2.3, IF(C2="C", 2, IF(C2="C-", 1.7, IF(C2="D+", 1.3, IF(C2="D", 1, IF(C2="E", 0, 0))))))))))))) * 3 +
            (IF(D2="A+", 4, IF(D2="A", 4, IF(D2="A-", 3.7, IF(D2="B+", 3.3, IF(D2="B", 3, IF(D2="B-", 2.7, IF(D2="C+", 2.3, IF(D2="C", 2, IF(D2="C-", 1.7, IF(D2="D+", 1.3, IF(D2="D", 1, IF(D2="E", 0, 0))))))))))))) * 3 +
            (IF(E2="A+", 4, IF(E2="A", 4, IF(E2="A-", 3.7, IF(E2="B+", 3.3, IF(E2="B", 3, IF(E2="B-", 2.7, IF(E2="C+", 2.3, IF(E2="C", 2, IF(E2="C-", 1.7, IF(E2="D+", 1.3, IF(E2="D", 1, IF(E2="E", 0, 0))))))))))))) * 3 +
            (IF(F2="A+", 4, IF(F2="A", 4, IF(F2="A-", 3.7, IF(F2="B+", 3.3, IF(F2="B", 3, IF(F2="B-", 2.7, IF(F2="C+", 2.3, IF(F2="C", 2, IF(F2="C-", 1.7, IF(F2="D+", 1.3, IF(F2="D", 1, IF(F2="E", 0, 0))))))))))))) * 2 +
            (IF(G2="A+", 4, IF(G2="A", 4, IF(G2="A-", 3.7, IF(G2="B+", 3.3, IF(G2="B", 3, IF(G2="B-", 2.7, IF(G2="C+", 2.3, IF(G2="C", 2, IF(G2="C-", 1.7, IF(G2="D+", 1.3, IF(G2="D", 1, IF(G2="E", 0, 0))))))))))))) * 2 +
            (IF(H2="A+", 4, IF(H2="A", 4, IF(H2="A-", 3.7, IF(H2="B+", 3.3, IF(H2="B", 3, IF(H2="B-", 2.7, IF(H2="C+", 2.3, IF(H2="C", 2, IF(H2="C-", 1.7, IF(H2="D+", 1.3, IF(H2="D", 1, IF(H2="E", 0, 0))))))))))))) * 2
        ) /
        (3 + 3 + 3 + 2 + 2 + 2),
    2),
0)</f>
        <v>0</v>
      </c>
    </row>
    <row r="70" spans="1:8" ht="15.75" customHeight="1" x14ac:dyDescent="0.25">
      <c r="A70" s="5" t="s">
        <v>151</v>
      </c>
      <c r="B70" s="4" t="s">
        <v>152</v>
      </c>
      <c r="C70" s="4" t="s">
        <v>252</v>
      </c>
      <c r="D70" s="4" t="s">
        <v>239</v>
      </c>
      <c r="E70" s="4" t="s">
        <v>267</v>
      </c>
      <c r="F70" s="4" t="s">
        <v>243</v>
      </c>
      <c r="G70" s="4" t="s">
        <v>244</v>
      </c>
      <c r="H70" s="4" t="e">
        <f>#VALUE!</f>
        <v>#VALUE!</v>
      </c>
    </row>
    <row r="71" spans="1:8" ht="15.75" customHeight="1" x14ac:dyDescent="0.25">
      <c r="A71" s="5" t="s">
        <v>153</v>
      </c>
      <c r="B71" s="4" t="s">
        <v>154</v>
      </c>
      <c r="C71" s="4" t="s">
        <v>243</v>
      </c>
      <c r="D71" s="4" t="s">
        <v>239</v>
      </c>
      <c r="E71" s="4" t="s">
        <v>252</v>
      </c>
      <c r="F71" s="4" t="s">
        <v>243</v>
      </c>
      <c r="G71" s="4" t="s">
        <v>237</v>
      </c>
      <c r="H71" s="4" t="e">
        <f>#VALUE!</f>
        <v>#VALUE!</v>
      </c>
    </row>
    <row r="72" spans="1:8" ht="15.75" customHeight="1" x14ac:dyDescent="0.25">
      <c r="A72" s="5" t="s">
        <v>155</v>
      </c>
      <c r="B72" s="4" t="s">
        <v>156</v>
      </c>
      <c r="C72" s="4" t="s">
        <v>241</v>
      </c>
      <c r="D72" s="4" t="s">
        <v>237</v>
      </c>
      <c r="E72" s="4" t="s">
        <v>243</v>
      </c>
      <c r="F72" s="4" t="s">
        <v>237</v>
      </c>
      <c r="G72" s="4" t="s">
        <v>241</v>
      </c>
      <c r="H72" s="4" t="e">
        <f>#VALUE!</f>
        <v>#VALUE!</v>
      </c>
    </row>
    <row r="73" spans="1:8" ht="15.75" customHeight="1" x14ac:dyDescent="0.25">
      <c r="A73" s="5" t="s">
        <v>157</v>
      </c>
      <c r="B73" s="4" t="s">
        <v>158</v>
      </c>
      <c r="C73" s="4" t="s">
        <v>240</v>
      </c>
      <c r="D73" s="4" t="s">
        <v>240</v>
      </c>
      <c r="E73" s="4" t="s">
        <v>240</v>
      </c>
      <c r="F73" s="4" t="s">
        <v>240</v>
      </c>
      <c r="G73" s="4" t="s">
        <v>240</v>
      </c>
      <c r="H73" s="4" t="e">
        <f>#VALUE!</f>
        <v>#VALUE!</v>
      </c>
    </row>
    <row r="74" spans="1:8" ht="15.75" customHeight="1" x14ac:dyDescent="0.25">
      <c r="A74" s="5" t="s">
        <v>159</v>
      </c>
      <c r="B74" s="4" t="s">
        <v>160</v>
      </c>
      <c r="C74" s="4" t="s">
        <v>237</v>
      </c>
      <c r="D74" s="4" t="s">
        <v>239</v>
      </c>
      <c r="E74" s="4" t="s">
        <v>238</v>
      </c>
      <c r="F74" s="4" t="s">
        <v>237</v>
      </c>
      <c r="G74" s="4" t="s">
        <v>243</v>
      </c>
      <c r="H74" s="4" t="e">
        <f>#VALUE!</f>
        <v>#VALUE!</v>
      </c>
    </row>
    <row r="75" spans="1:8" ht="15.75" customHeight="1" x14ac:dyDescent="0.25">
      <c r="A75" s="5" t="s">
        <v>161</v>
      </c>
      <c r="B75" s="4" t="s">
        <v>162</v>
      </c>
      <c r="C75" s="4" t="s">
        <v>237</v>
      </c>
      <c r="D75" s="4" t="s">
        <v>267</v>
      </c>
      <c r="E75" s="4" t="s">
        <v>238</v>
      </c>
      <c r="F75" s="4" t="s">
        <v>238</v>
      </c>
      <c r="G75" s="4" t="s">
        <v>243</v>
      </c>
      <c r="H75" s="4" t="e">
        <f>#VALUE!</f>
        <v>#VALUE!</v>
      </c>
    </row>
    <row r="76" spans="1:8" ht="15.75" customHeight="1" x14ac:dyDescent="0.25">
      <c r="A76" s="5" t="s">
        <v>163</v>
      </c>
      <c r="B76" s="4" t="s">
        <v>164</v>
      </c>
      <c r="C76" s="4" t="s">
        <v>243</v>
      </c>
      <c r="D76" s="4" t="s">
        <v>244</v>
      </c>
      <c r="E76" s="4" t="s">
        <v>244</v>
      </c>
      <c r="F76" s="4" t="s">
        <v>237</v>
      </c>
      <c r="G76" s="4" t="s">
        <v>244</v>
      </c>
      <c r="H76" s="4" t="e">
        <f>#VALUE!</f>
        <v>#VALUE!</v>
      </c>
    </row>
    <row r="77" spans="1:8" ht="15.75" customHeight="1" x14ac:dyDescent="0.25">
      <c r="A77" s="5" t="s">
        <v>165</v>
      </c>
      <c r="B77" s="4" t="s">
        <v>166</v>
      </c>
      <c r="C77" s="4" t="s">
        <v>243</v>
      </c>
      <c r="D77" s="4" t="s">
        <v>239</v>
      </c>
      <c r="E77" s="4" t="s">
        <v>252</v>
      </c>
      <c r="F77" s="4" t="s">
        <v>243</v>
      </c>
      <c r="G77" s="4" t="s">
        <v>239</v>
      </c>
      <c r="H77" s="4" t="e">
        <f>#VALUE!</f>
        <v>#VALUE!</v>
      </c>
    </row>
    <row r="78" spans="1:8" ht="15.75" customHeight="1" x14ac:dyDescent="0.25">
      <c r="A78" s="5" t="s">
        <v>167</v>
      </c>
      <c r="B78" s="4" t="s">
        <v>168</v>
      </c>
      <c r="C78" s="4" t="s">
        <v>236</v>
      </c>
      <c r="D78" s="4" t="s">
        <v>244</v>
      </c>
      <c r="E78" s="4" t="s">
        <v>243</v>
      </c>
      <c r="F78" s="4" t="s">
        <v>235</v>
      </c>
      <c r="G78" s="4" t="s">
        <v>243</v>
      </c>
      <c r="H78" s="4" t="e">
        <f>#VALUE!</f>
        <v>#VALUE!</v>
      </c>
    </row>
    <row r="79" spans="1:8" ht="15.75" customHeight="1" x14ac:dyDescent="0.25">
      <c r="A79" s="5" t="s">
        <v>169</v>
      </c>
      <c r="B79" s="4" t="s">
        <v>170</v>
      </c>
      <c r="C79" s="4" t="s">
        <v>242</v>
      </c>
      <c r="D79" s="4" t="s">
        <v>244</v>
      </c>
      <c r="E79" s="4" t="s">
        <v>238</v>
      </c>
      <c r="F79" s="4" t="s">
        <v>237</v>
      </c>
      <c r="G79" s="4" t="s">
        <v>238</v>
      </c>
      <c r="H79" s="4" t="e">
        <f>#VALUE!</f>
        <v>#VALUE!</v>
      </c>
    </row>
    <row r="80" spans="1:8" ht="15.75" customHeight="1" x14ac:dyDescent="0.25">
      <c r="A80" s="5" t="s">
        <v>171</v>
      </c>
      <c r="B80" s="4" t="s">
        <v>172</v>
      </c>
      <c r="C80" s="4" t="s">
        <v>241</v>
      </c>
      <c r="D80" s="4" t="s">
        <v>237</v>
      </c>
      <c r="E80" s="4" t="s">
        <v>238</v>
      </c>
      <c r="F80" s="4" t="s">
        <v>236</v>
      </c>
      <c r="G80" s="4" t="s">
        <v>241</v>
      </c>
      <c r="H80" s="4" t="e">
        <f>#VALUE!</f>
        <v>#VALUE!</v>
      </c>
    </row>
    <row r="81" spans="1:8" ht="15.75" customHeight="1" x14ac:dyDescent="0.25">
      <c r="A81" s="5" t="s">
        <v>173</v>
      </c>
      <c r="B81" s="4" t="s">
        <v>174</v>
      </c>
      <c r="C81" s="4" t="s">
        <v>241</v>
      </c>
      <c r="D81" s="4" t="s">
        <v>239</v>
      </c>
      <c r="E81" s="4" t="s">
        <v>243</v>
      </c>
      <c r="F81" s="4" t="s">
        <v>238</v>
      </c>
      <c r="G81" s="4" t="s">
        <v>237</v>
      </c>
      <c r="H81" s="4" t="e">
        <f>#VALUE!</f>
        <v>#VALUE!</v>
      </c>
    </row>
    <row r="82" spans="1:8" ht="15.75" customHeight="1" x14ac:dyDescent="0.25">
      <c r="A82" s="5" t="s">
        <v>175</v>
      </c>
      <c r="B82" s="4" t="s">
        <v>176</v>
      </c>
      <c r="C82" s="4" t="s">
        <v>240</v>
      </c>
      <c r="D82" s="4" t="s">
        <v>240</v>
      </c>
      <c r="E82" s="4" t="s">
        <v>240</v>
      </c>
      <c r="F82" s="4" t="s">
        <v>240</v>
      </c>
      <c r="G82" s="4" t="s">
        <v>240</v>
      </c>
      <c r="H82" s="4" t="e">
        <f>#VALUE!</f>
        <v>#VALUE!</v>
      </c>
    </row>
    <row r="83" spans="1:8" ht="15.75" customHeight="1" x14ac:dyDescent="0.25">
      <c r="A83" s="5" t="s">
        <v>177</v>
      </c>
      <c r="B83" s="4" t="s">
        <v>178</v>
      </c>
      <c r="C83" s="4" t="s">
        <v>241</v>
      </c>
      <c r="D83" s="4" t="s">
        <v>244</v>
      </c>
      <c r="E83" s="4" t="s">
        <v>243</v>
      </c>
      <c r="F83" s="4" t="s">
        <v>236</v>
      </c>
      <c r="G83" s="4" t="s">
        <v>235</v>
      </c>
      <c r="H83" s="4" t="e">
        <f>#VALUE!</f>
        <v>#VALUE!</v>
      </c>
    </row>
    <row r="84" spans="1:8" ht="15.75" customHeight="1" x14ac:dyDescent="0.25">
      <c r="A84" s="5" t="s">
        <v>179</v>
      </c>
      <c r="B84" s="4" t="s">
        <v>180</v>
      </c>
      <c r="C84" s="4" t="s">
        <v>236</v>
      </c>
      <c r="D84" s="4" t="s">
        <v>243</v>
      </c>
      <c r="E84" s="4" t="s">
        <v>243</v>
      </c>
      <c r="F84" s="4" t="s">
        <v>237</v>
      </c>
      <c r="G84" s="4" t="s">
        <v>237</v>
      </c>
      <c r="H84" s="4" t="e">
        <f>#VALUE!</f>
        <v>#VALUE!</v>
      </c>
    </row>
    <row r="85" spans="1:8" ht="15.75" customHeight="1" x14ac:dyDescent="0.25">
      <c r="A85" s="5" t="s">
        <v>181</v>
      </c>
      <c r="B85" s="4" t="s">
        <v>182</v>
      </c>
      <c r="C85" s="4" t="s">
        <v>236</v>
      </c>
      <c r="D85" s="4" t="s">
        <v>236</v>
      </c>
      <c r="E85" s="4" t="s">
        <v>244</v>
      </c>
      <c r="F85" s="4" t="s">
        <v>237</v>
      </c>
      <c r="G85" s="4" t="s">
        <v>237</v>
      </c>
      <c r="H85" s="4" t="e">
        <f>#VALUE!</f>
        <v>#VALUE!</v>
      </c>
    </row>
    <row r="86" spans="1:8" ht="15.75" customHeight="1" x14ac:dyDescent="0.25">
      <c r="A86" s="5" t="s">
        <v>183</v>
      </c>
      <c r="B86" s="4" t="s">
        <v>184</v>
      </c>
      <c r="C86" s="4" t="s">
        <v>242</v>
      </c>
      <c r="D86" s="4" t="s">
        <v>237</v>
      </c>
      <c r="E86" s="4" t="s">
        <v>238</v>
      </c>
      <c r="F86" s="4" t="s">
        <v>235</v>
      </c>
      <c r="G86" s="4" t="s">
        <v>238</v>
      </c>
      <c r="H86" s="4" t="e">
        <f>#VALUE!</f>
        <v>#VALUE!</v>
      </c>
    </row>
    <row r="87" spans="1:8" ht="15.75" customHeight="1" x14ac:dyDescent="0.25">
      <c r="A87" s="5" t="s">
        <v>185</v>
      </c>
      <c r="B87" s="4" t="s">
        <v>186</v>
      </c>
      <c r="C87" s="4" t="s">
        <v>244</v>
      </c>
      <c r="D87" s="4" t="s">
        <v>244</v>
      </c>
      <c r="E87" s="4" t="s">
        <v>267</v>
      </c>
      <c r="F87" s="4" t="s">
        <v>238</v>
      </c>
      <c r="G87" s="4" t="s">
        <v>237</v>
      </c>
      <c r="H87" s="4" t="e">
        <f>#VALUE!</f>
        <v>#VALUE!</v>
      </c>
    </row>
    <row r="88" spans="1:8" ht="15.75" customHeight="1" x14ac:dyDescent="0.25">
      <c r="A88" s="5" t="s">
        <v>187</v>
      </c>
      <c r="B88" s="4" t="s">
        <v>188</v>
      </c>
      <c r="C88" s="4" t="s">
        <v>243</v>
      </c>
      <c r="D88" s="4" t="s">
        <v>252</v>
      </c>
      <c r="E88" s="4" t="s">
        <v>244</v>
      </c>
      <c r="F88" s="4" t="s">
        <v>239</v>
      </c>
      <c r="G88" s="4" t="s">
        <v>239</v>
      </c>
      <c r="H88" s="4" t="e">
        <f>#VALUE!</f>
        <v>#VALUE!</v>
      </c>
    </row>
    <row r="89" spans="1:8" ht="15.75" customHeight="1" x14ac:dyDescent="0.25">
      <c r="A89" s="5" t="s">
        <v>189</v>
      </c>
      <c r="B89" s="4" t="s">
        <v>190</v>
      </c>
      <c r="C89" s="4" t="s">
        <v>243</v>
      </c>
      <c r="D89" s="4" t="s">
        <v>239</v>
      </c>
      <c r="E89" s="4" t="s">
        <v>267</v>
      </c>
      <c r="F89" s="4" t="s">
        <v>243</v>
      </c>
      <c r="G89" s="4" t="s">
        <v>244</v>
      </c>
      <c r="H89" s="4" t="e">
        <f>#VALUE!</f>
        <v>#VALUE!</v>
      </c>
    </row>
    <row r="90" spans="1:8" ht="15.75" customHeight="1" x14ac:dyDescent="0.25">
      <c r="A90" s="5" t="s">
        <v>191</v>
      </c>
      <c r="B90" s="4" t="s">
        <v>192</v>
      </c>
      <c r="C90" s="4" t="s">
        <v>240</v>
      </c>
      <c r="D90" s="4" t="s">
        <v>240</v>
      </c>
      <c r="E90" s="4" t="s">
        <v>240</v>
      </c>
      <c r="F90" s="4" t="s">
        <v>240</v>
      </c>
      <c r="G90" s="4" t="s">
        <v>240</v>
      </c>
      <c r="H90" s="4" t="e">
        <f>#VALUE!</f>
        <v>#VALUE!</v>
      </c>
    </row>
    <row r="91" spans="1:8" ht="15.75" customHeight="1" x14ac:dyDescent="0.25">
      <c r="A91" s="5" t="s">
        <v>193</v>
      </c>
      <c r="B91" s="4" t="s">
        <v>194</v>
      </c>
      <c r="C91" s="4" t="s">
        <v>241</v>
      </c>
      <c r="D91" s="4" t="s">
        <v>244</v>
      </c>
      <c r="E91" s="4" t="s">
        <v>244</v>
      </c>
      <c r="F91" s="4" t="s">
        <v>268</v>
      </c>
      <c r="G91" s="4" t="s">
        <v>243</v>
      </c>
      <c r="H91" s="4" t="e">
        <f>#VALUE!</f>
        <v>#VALUE!</v>
      </c>
    </row>
    <row r="92" spans="1:8" ht="15.75" customHeight="1" x14ac:dyDescent="0.25">
      <c r="A92" s="5" t="s">
        <v>195</v>
      </c>
      <c r="B92" s="4" t="s">
        <v>196</v>
      </c>
      <c r="C92" s="4" t="s">
        <v>237</v>
      </c>
      <c r="D92" s="4" t="s">
        <v>239</v>
      </c>
      <c r="E92" s="4" t="s">
        <v>243</v>
      </c>
      <c r="F92" s="4" t="s">
        <v>243</v>
      </c>
      <c r="G92" s="4" t="s">
        <v>239</v>
      </c>
      <c r="H92" s="4" t="e">
        <f>#VALUE!</f>
        <v>#VALUE!</v>
      </c>
    </row>
    <row r="93" spans="1:8" ht="15.75" customHeight="1" x14ac:dyDescent="0.25">
      <c r="A93" s="5" t="s">
        <v>197</v>
      </c>
      <c r="B93" s="4" t="s">
        <v>198</v>
      </c>
      <c r="C93" s="4" t="s">
        <v>242</v>
      </c>
      <c r="D93" s="4" t="s">
        <v>235</v>
      </c>
      <c r="E93" s="4" t="s">
        <v>235</v>
      </c>
      <c r="F93" s="4" t="s">
        <v>238</v>
      </c>
      <c r="G93" s="4" t="s">
        <v>237</v>
      </c>
      <c r="H93" s="4" t="e">
        <f>#VALUE!</f>
        <v>#VALUE!</v>
      </c>
    </row>
    <row r="94" spans="1:8" ht="15.75" customHeight="1" x14ac:dyDescent="0.25">
      <c r="A94" s="5" t="s">
        <v>199</v>
      </c>
      <c r="B94" s="4" t="s">
        <v>200</v>
      </c>
      <c r="C94" s="4" t="s">
        <v>237</v>
      </c>
      <c r="D94" s="4" t="s">
        <v>239</v>
      </c>
      <c r="E94" s="4" t="s">
        <v>244</v>
      </c>
      <c r="F94" s="4" t="s">
        <v>235</v>
      </c>
      <c r="G94" s="4" t="s">
        <v>237</v>
      </c>
      <c r="H94" s="4" t="e">
        <f>#VALUE!</f>
        <v>#VALUE!</v>
      </c>
    </row>
    <row r="95" spans="1:8" ht="15.75" customHeight="1" x14ac:dyDescent="0.25">
      <c r="A95" s="5" t="s">
        <v>201</v>
      </c>
      <c r="B95" s="4" t="s">
        <v>202</v>
      </c>
      <c r="C95" s="4" t="s">
        <v>242</v>
      </c>
      <c r="D95" s="4" t="s">
        <v>243</v>
      </c>
      <c r="E95" s="4" t="s">
        <v>243</v>
      </c>
      <c r="F95" s="4" t="s">
        <v>243</v>
      </c>
      <c r="G95" s="4" t="s">
        <v>243</v>
      </c>
      <c r="H95" s="4" t="e">
        <f>#VALUE!</f>
        <v>#VALUE!</v>
      </c>
    </row>
    <row r="96" spans="1:8" ht="15.75" customHeight="1" x14ac:dyDescent="0.25">
      <c r="A96" s="5" t="s">
        <v>203</v>
      </c>
      <c r="B96" s="4" t="s">
        <v>204</v>
      </c>
      <c r="C96" s="4" t="s">
        <v>242</v>
      </c>
      <c r="D96" s="4" t="s">
        <v>237</v>
      </c>
      <c r="E96" s="4" t="s">
        <v>243</v>
      </c>
      <c r="F96" s="4" t="s">
        <v>237</v>
      </c>
      <c r="G96" s="4" t="s">
        <v>243</v>
      </c>
      <c r="H96" s="4" t="e">
        <f>#VALUE!</f>
        <v>#VALUE!</v>
      </c>
    </row>
    <row r="97" spans="1:8" ht="15.75" customHeight="1" x14ac:dyDescent="0.25">
      <c r="A97" s="5" t="s">
        <v>205</v>
      </c>
      <c r="B97" s="4" t="s">
        <v>206</v>
      </c>
      <c r="C97" s="4" t="s">
        <v>236</v>
      </c>
      <c r="D97" s="4" t="s">
        <v>238</v>
      </c>
      <c r="E97" s="4" t="s">
        <v>243</v>
      </c>
      <c r="F97" s="4" t="s">
        <v>237</v>
      </c>
      <c r="G97" s="4" t="s">
        <v>238</v>
      </c>
      <c r="H97" s="4" t="e">
        <f>#VALUE!</f>
        <v>#VALUE!</v>
      </c>
    </row>
    <row r="98" spans="1:8" ht="15.75" customHeight="1" x14ac:dyDescent="0.25">
      <c r="A98" s="5" t="s">
        <v>207</v>
      </c>
      <c r="B98" s="4" t="s">
        <v>208</v>
      </c>
      <c r="C98" s="4" t="s">
        <v>236</v>
      </c>
      <c r="D98" s="4" t="s">
        <v>238</v>
      </c>
      <c r="E98" s="4" t="s">
        <v>238</v>
      </c>
      <c r="F98" s="4" t="s">
        <v>236</v>
      </c>
      <c r="G98" s="4" t="s">
        <v>236</v>
      </c>
      <c r="H98" s="4" t="e">
        <f>#VALUE!</f>
        <v>#VALUE!</v>
      </c>
    </row>
    <row r="99" spans="1:8" ht="15.75" customHeight="1" x14ac:dyDescent="0.25">
      <c r="A99" s="5" t="s">
        <v>209</v>
      </c>
      <c r="B99" s="4" t="s">
        <v>210</v>
      </c>
      <c r="C99" s="4" t="s">
        <v>238</v>
      </c>
      <c r="D99" s="4" t="s">
        <v>244</v>
      </c>
      <c r="E99" s="4" t="s">
        <v>244</v>
      </c>
      <c r="F99" s="4" t="s">
        <v>244</v>
      </c>
      <c r="G99" s="4" t="s">
        <v>239</v>
      </c>
      <c r="H99" s="4" t="e">
        <f>#VALUE!</f>
        <v>#VALUE!</v>
      </c>
    </row>
    <row r="100" spans="1:8" ht="15.75" customHeight="1" x14ac:dyDescent="0.25">
      <c r="A100" s="5" t="s">
        <v>211</v>
      </c>
      <c r="B100" s="4" t="s">
        <v>212</v>
      </c>
      <c r="C100" s="4" t="s">
        <v>238</v>
      </c>
      <c r="D100" s="4" t="s">
        <v>239</v>
      </c>
      <c r="E100" s="4" t="s">
        <v>239</v>
      </c>
      <c r="F100" s="4" t="s">
        <v>237</v>
      </c>
      <c r="G100" s="4" t="s">
        <v>243</v>
      </c>
      <c r="H100" s="4" t="e">
        <f>#VALUE!</f>
        <v>#VALUE!</v>
      </c>
    </row>
    <row r="101" spans="1:8" ht="15.75" customHeight="1" x14ac:dyDescent="0.25">
      <c r="A101" s="5" t="s">
        <v>213</v>
      </c>
      <c r="B101" s="4" t="s">
        <v>214</v>
      </c>
      <c r="C101" s="4" t="s">
        <v>236</v>
      </c>
      <c r="D101" s="4" t="s">
        <v>244</v>
      </c>
      <c r="E101" s="4" t="s">
        <v>238</v>
      </c>
      <c r="F101" s="4" t="s">
        <v>238</v>
      </c>
      <c r="G101" s="4" t="s">
        <v>236</v>
      </c>
      <c r="H101" s="4" t="e">
        <f>#VALUE!</f>
        <v>#VALUE!</v>
      </c>
    </row>
    <row r="102" spans="1:8" ht="15.75" customHeight="1" x14ac:dyDescent="0.25">
      <c r="A102" s="5" t="s">
        <v>215</v>
      </c>
      <c r="B102" s="4" t="s">
        <v>216</v>
      </c>
      <c r="C102" s="4" t="s">
        <v>238</v>
      </c>
      <c r="D102" s="4" t="s">
        <v>239</v>
      </c>
      <c r="E102" s="4" t="s">
        <v>244</v>
      </c>
      <c r="F102" s="4" t="s">
        <v>235</v>
      </c>
      <c r="G102" s="4" t="s">
        <v>237</v>
      </c>
      <c r="H102" s="4" t="e">
        <f>#VALUE!</f>
        <v>#VALUE!</v>
      </c>
    </row>
    <row r="103" spans="1:8" ht="15.75" customHeight="1" x14ac:dyDescent="0.25">
      <c r="A103" s="5" t="s">
        <v>217</v>
      </c>
      <c r="B103" s="4" t="s">
        <v>218</v>
      </c>
      <c r="C103" s="4" t="s">
        <v>235</v>
      </c>
      <c r="D103" s="4" t="s">
        <v>239</v>
      </c>
      <c r="E103" s="4" t="s">
        <v>243</v>
      </c>
      <c r="F103" s="4" t="s">
        <v>237</v>
      </c>
      <c r="G103" s="4" t="s">
        <v>244</v>
      </c>
      <c r="H103" s="4" t="e">
        <f>#VALUE!</f>
        <v>#VALUE!</v>
      </c>
    </row>
    <row r="104" spans="1:8" ht="15.75" customHeight="1" x14ac:dyDescent="0.25">
      <c r="A104" s="5" t="s">
        <v>219</v>
      </c>
      <c r="B104" s="4" t="s">
        <v>220</v>
      </c>
      <c r="C104" s="4" t="s">
        <v>243</v>
      </c>
      <c r="D104" s="4" t="s">
        <v>253</v>
      </c>
      <c r="E104" s="4" t="s">
        <v>243</v>
      </c>
      <c r="F104" s="4" t="s">
        <v>238</v>
      </c>
      <c r="G104" s="4" t="s">
        <v>243</v>
      </c>
      <c r="H104" s="4" t="e">
        <f>#VALUE!</f>
        <v>#VALUE!</v>
      </c>
    </row>
    <row r="105" spans="1:8" ht="15.75" customHeight="1" x14ac:dyDescent="0.25">
      <c r="A105" s="5" t="s">
        <v>221</v>
      </c>
      <c r="B105" s="4" t="s">
        <v>222</v>
      </c>
      <c r="C105" s="4" t="s">
        <v>242</v>
      </c>
      <c r="D105" s="4" t="s">
        <v>238</v>
      </c>
      <c r="E105" s="4" t="s">
        <v>237</v>
      </c>
      <c r="F105" s="4" t="s">
        <v>237</v>
      </c>
      <c r="G105" s="4" t="s">
        <v>236</v>
      </c>
      <c r="H105" s="4" t="e">
        <f>#VALUE!</f>
        <v>#VALUE!</v>
      </c>
    </row>
    <row r="106" spans="1:8" ht="15.75" customHeight="1" x14ac:dyDescent="0.25">
      <c r="A106" s="5" t="s">
        <v>223</v>
      </c>
      <c r="B106" s="4" t="s">
        <v>224</v>
      </c>
      <c r="C106" s="4" t="s">
        <v>235</v>
      </c>
      <c r="D106" s="4" t="s">
        <v>244</v>
      </c>
      <c r="E106" s="4" t="s">
        <v>244</v>
      </c>
      <c r="F106" s="4" t="s">
        <v>238</v>
      </c>
      <c r="G106" s="4" t="s">
        <v>238</v>
      </c>
      <c r="H106" s="4" t="e">
        <f>#VALUE!</f>
        <v>#VALUE!</v>
      </c>
    </row>
    <row r="107" spans="1:8" ht="15.75" customHeight="1" x14ac:dyDescent="0.25">
      <c r="A107" s="5" t="s">
        <v>225</v>
      </c>
      <c r="B107" s="4" t="s">
        <v>226</v>
      </c>
      <c r="C107" s="4" t="s">
        <v>236</v>
      </c>
      <c r="D107" s="4" t="s">
        <v>236</v>
      </c>
      <c r="E107" s="4" t="s">
        <v>244</v>
      </c>
      <c r="F107" s="4" t="s">
        <v>237</v>
      </c>
      <c r="G107" s="4" t="s">
        <v>235</v>
      </c>
      <c r="H107" s="4" t="e">
        <f>#VALUE!</f>
        <v>#VALUE!</v>
      </c>
    </row>
    <row r="108" spans="1:8" ht="15.75" customHeight="1" x14ac:dyDescent="0.25">
      <c r="A108" s="5" t="s">
        <v>227</v>
      </c>
      <c r="B108" s="4" t="s">
        <v>228</v>
      </c>
      <c r="C108" s="4" t="s">
        <v>235</v>
      </c>
      <c r="D108" s="4" t="s">
        <v>244</v>
      </c>
      <c r="E108" s="4" t="s">
        <v>243</v>
      </c>
      <c r="F108" s="4" t="s">
        <v>237</v>
      </c>
      <c r="G108" s="4" t="s">
        <v>238</v>
      </c>
      <c r="H108" s="4" t="e">
        <f>#VALUE!</f>
        <v>#VALUE!</v>
      </c>
    </row>
    <row r="109" spans="1:8" ht="15.75" customHeight="1" x14ac:dyDescent="0.25"/>
    <row r="110" spans="1:8" ht="15.75" customHeight="1" x14ac:dyDescent="0.25"/>
    <row r="111" spans="1:8" ht="15.75" customHeight="1" x14ac:dyDescent="0.25"/>
    <row r="112" spans="1: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topLeftCell="A64" workbookViewId="0">
      <selection activeCell="I91" sqref="I91"/>
    </sheetView>
  </sheetViews>
  <sheetFormatPr defaultColWidth="14.42578125" defaultRowHeight="15" customHeight="1" x14ac:dyDescent="0.25"/>
  <cols>
    <col min="1" max="1" width="17.85546875" customWidth="1"/>
    <col min="2" max="2" width="28.5703125" customWidth="1"/>
    <col min="3" max="5" width="8" customWidth="1"/>
    <col min="6" max="6" width="11.5703125" customWidth="1"/>
    <col min="7" max="8" width="8" customWidth="1"/>
    <col min="9" max="9" width="17" customWidth="1"/>
    <col min="10" max="26" width="8" customWidth="1"/>
  </cols>
  <sheetData>
    <row r="1" spans="1:9" x14ac:dyDescent="0.25">
      <c r="A1" s="1" t="s">
        <v>0</v>
      </c>
      <c r="B1" s="2" t="s">
        <v>1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234</v>
      </c>
    </row>
    <row r="2" spans="1:9" x14ac:dyDescent="0.25">
      <c r="A2" s="3" t="s">
        <v>15</v>
      </c>
      <c r="B2" s="4" t="s">
        <v>16</v>
      </c>
      <c r="C2" s="3" t="s">
        <v>235</v>
      </c>
      <c r="D2" s="3" t="s">
        <v>243</v>
      </c>
      <c r="E2" s="3" t="s">
        <v>236</v>
      </c>
      <c r="F2" s="3" t="s">
        <v>243</v>
      </c>
      <c r="G2" s="3" t="s">
        <v>235</v>
      </c>
      <c r="H2" s="3" t="s">
        <v>236</v>
      </c>
      <c r="I2" s="3">
        <f>IFERROR(
    ROUND(
        (
            (IF(C2="A+", 4, IF(C2="A", 4, IF(C2="A-", 3.7, IF(C2="B+", 3.3, IF(C2="B", 3, IF(C2="B-", 2.7, IF(C2="C+", 2.3, IF(C2="C", 2, IF(C2="C-", 1.7, IF(C2="D+", 1.3, IF(C2="D", 1, IF(C2="E", 0, 0))))))))))))) * 3 +
            (IF(D2="A+", 4, IF(D2="A", 4, IF(D2="A-", 3.7, IF(D2="B+", 3.3, IF(D2="B", 3, IF(D2="B-", 2.7, IF(D2="C+", 2.3, IF(D2="C", 2, IF(D2="C-", 1.7, IF(D2="D+", 1.3, IF(D2="D", 1, IF(D2="E", 0, 0))))))))))))) * 3 +
            (IF(E2="A+", 4, IF(E2="A", 4, IF(E2="A-", 3.7, IF(E2="B+", 3.3, IF(E2="B", 3, IF(E2="B-", 2.7, IF(E2="C+", 2.3, IF(E2="C", 2, IF(E2="C-", 1.7, IF(E2="D+", 1.3, IF(E2="D", 1, IF(E2="E", 0, 0))))))))))))) * 3 +
            (IF(F2="A+", 4, IF(F2="A", 4, IF(F2="A-", 3.7, IF(F2="B+", 3.3, IF(F2="B", 3, IF(F2="B-", 2.7, IF(F2="C+", 2.3, IF(F2="C", 2, IF(F2="C-", 1.7, IF(F2="D+", 1.3, IF(F2="D", 1, IF(F2="E", 0, 0))))))))))))) * 2 +
            (IF(G2="A+", 4, IF(G2="A", 4, IF(G2="A-", 3.7, IF(G2="B+", 3.3, IF(G2="B", 3, IF(G2="B-", 2.7, IF(G2="C+", 2.3, IF(G2="C", 2, IF(G2="C-", 1.7, IF(G2="D+", 1.3, IF(G2="D", 1, IF(G2="E", 0, 0))))))))))))) * 2 +
            (IF(H2="A+", 4, IF(H2="A", 4, IF(H2="A-", 3.7, IF(H2="B+", 3.3, IF(H2="B", 3, IF(H2="B-", 2.7, IF(H2="C+", 2.3, IF(H2="C", 2, IF(H2="C-", 1.7, IF(H2="D+", 1.3, IF(H2="D", 1, IF(H2="E", 0, 0))))))))))))) * 2
        ) /
        (3 + 3 + 3 + 2 + 2 + 2),
    2),
0)</f>
        <v>3.1</v>
      </c>
    </row>
    <row r="3" spans="1:9" x14ac:dyDescent="0.25">
      <c r="A3" s="3" t="s">
        <v>17</v>
      </c>
      <c r="B3" s="4" t="s">
        <v>18</v>
      </c>
      <c r="C3" s="3" t="s">
        <v>243</v>
      </c>
      <c r="D3" s="3" t="s">
        <v>239</v>
      </c>
      <c r="E3" s="3" t="s">
        <v>244</v>
      </c>
      <c r="F3" s="3" t="s">
        <v>239</v>
      </c>
      <c r="G3" s="3" t="s">
        <v>237</v>
      </c>
      <c r="H3" s="3" t="s">
        <v>236</v>
      </c>
      <c r="I3" s="3">
        <f t="shared" ref="I3:I34" si="0">IFERROR(
ROUND(
(
(IF(C3="A+", 4, IF(C3="A", 4, IF(C3="A-", 3.7, IF(C3="B+", 3.3, IF(C3="B", 3, IF(C3="B-", 2.7, IF(C3="C+", 2.3, IF(C3="C", 2, IF(C3="C-", 1.7, IF(C3="D+", 1.3, IF(C3="D", 1, IF(C3="E", 0, 0))))))))))))) * 3 +
(IF(D3="A+", 4, IF(D3="A", 4, IF(D3="A-", 3.7, IF(D3="B+", 3.3, IF(D3="B", 3, IF(D3="B-", 2.7, IF(D3="C+", 2.3, IF(D3="C", 2, IF(D3="C-", 1.7, IF(D3="D+", 1.3, IF(D3="D", 1, IF(D3="E", 0, 0))))))))))))) * 3 +
(IF(E3="A+", 4, IF(E3="A", 4, IF(E3="A-", 3.7, IF(E3="B+", 3.3, IF(E3="B", 3, IF(E3="B-", 2.7, IF(E3="C+", 2.3, IF(E3="C", 2, IF(E3="C-", 1.7, IF(E3="D+", 1.3, IF(E3="D", 1, IF(E3="E", 0, 0))))))))))))) * 3 +
(IF(F3="A+", 4, IF(F3="A", 4, IF(F3="A-", 3.7, IF(F3="B+", 3.3, IF(F3="B", 3, IF(F3="B-", 2.7, IF(F3="C+", 2.3, IF(F3="C", 2, IF(F3="C-", 1.7, IF(F3="D+", 1.3, IF(F3="D", 1, IF(F3="E", 0, 0))))))))))))) * 2 +
(IF(G3="A+", 4, IF(G3="A", 4, IF(G3="A-", 3.7, IF(G3="B+", 3.3, IF(G3="B", 3, IF(G3="B-", 2.7, IF(G3="C+", 2.3, IF(G3="C", 2, IF(G3="C-", 1.7, IF(G3="D+", 1.3, IF(G3="D", 1, IF(G3="E", 0, 0))))))))))))) * 2 +
(IF(H3="A+", 4, IF(H3="A", 4, IF(H3="A-", 3.7, IF(H3="B+", 3.3, IF(H3="B", 3, IF(H3="B-", 2.7, IF(H3="C+", 2.3, IF(H3="C", 2, IF(H3="C-", 1.7, IF(H3="D+", 1.3, IF(H3="D", 1, IF(H3="E", 0, 0))))))))))))) *
2) /
(3 + 3 + 3 + 2 + 2 + 2),
2),
0)</f>
        <v>2.3199999999999998</v>
      </c>
    </row>
    <row r="4" spans="1:9" x14ac:dyDescent="0.25">
      <c r="A4" s="3" t="s">
        <v>19</v>
      </c>
      <c r="B4" s="4" t="s">
        <v>20</v>
      </c>
      <c r="C4" s="3" t="s">
        <v>236</v>
      </c>
      <c r="D4" s="3" t="s">
        <v>243</v>
      </c>
      <c r="E4" s="3" t="s">
        <v>241</v>
      </c>
      <c r="F4" s="3" t="s">
        <v>238</v>
      </c>
      <c r="G4" s="3" t="s">
        <v>241</v>
      </c>
      <c r="H4" s="3" t="s">
        <v>235</v>
      </c>
      <c r="I4" s="3">
        <f t="shared" si="0"/>
        <v>3.33</v>
      </c>
    </row>
    <row r="5" spans="1:9" x14ac:dyDescent="0.25">
      <c r="A5" s="3" t="s">
        <v>21</v>
      </c>
      <c r="B5" s="4" t="s">
        <v>22</v>
      </c>
      <c r="C5" s="3" t="s">
        <v>235</v>
      </c>
      <c r="D5" s="3" t="s">
        <v>238</v>
      </c>
      <c r="E5" s="3" t="s">
        <v>242</v>
      </c>
      <c r="F5" s="3" t="s">
        <v>235</v>
      </c>
      <c r="G5" s="3" t="s">
        <v>241</v>
      </c>
      <c r="H5" s="3" t="s">
        <v>236</v>
      </c>
      <c r="I5" s="3">
        <f t="shared" si="0"/>
        <v>3.47</v>
      </c>
    </row>
    <row r="6" spans="1:9" x14ac:dyDescent="0.25">
      <c r="A6" s="3" t="s">
        <v>23</v>
      </c>
      <c r="B6" s="4" t="s">
        <v>24</v>
      </c>
      <c r="C6" s="3" t="s">
        <v>241</v>
      </c>
      <c r="D6" s="3" t="s">
        <v>237</v>
      </c>
      <c r="E6" s="3" t="s">
        <v>242</v>
      </c>
      <c r="F6" s="3" t="s">
        <v>242</v>
      </c>
      <c r="G6" s="3" t="s">
        <v>241</v>
      </c>
      <c r="H6" s="3" t="s">
        <v>236</v>
      </c>
      <c r="I6" s="3">
        <f t="shared" si="0"/>
        <v>3.76</v>
      </c>
    </row>
    <row r="7" spans="1:9" x14ac:dyDescent="0.25">
      <c r="A7" s="3" t="s">
        <v>25</v>
      </c>
      <c r="B7" s="4" t="s">
        <v>26</v>
      </c>
      <c r="C7" s="3" t="s">
        <v>241</v>
      </c>
      <c r="D7" s="3" t="s">
        <v>235</v>
      </c>
      <c r="E7" s="3" t="s">
        <v>242</v>
      </c>
      <c r="F7" s="3" t="s">
        <v>242</v>
      </c>
      <c r="G7" s="3" t="s">
        <v>242</v>
      </c>
      <c r="H7" s="3" t="s">
        <v>242</v>
      </c>
      <c r="I7" s="3">
        <f t="shared" si="0"/>
        <v>3.86</v>
      </c>
    </row>
    <row r="8" spans="1:9" x14ac:dyDescent="0.25">
      <c r="A8" s="3" t="s">
        <v>27</v>
      </c>
      <c r="B8" s="4" t="s">
        <v>28</v>
      </c>
      <c r="C8" s="3" t="s">
        <v>244</v>
      </c>
      <c r="D8" s="3" t="s">
        <v>243</v>
      </c>
      <c r="E8" s="3" t="s">
        <v>237</v>
      </c>
      <c r="F8" s="3" t="s">
        <v>244</v>
      </c>
      <c r="G8" s="3" t="s">
        <v>241</v>
      </c>
      <c r="H8" s="3" t="s">
        <v>236</v>
      </c>
      <c r="I8" s="3">
        <f t="shared" si="0"/>
        <v>2.75</v>
      </c>
    </row>
    <row r="9" spans="1:9" x14ac:dyDescent="0.25">
      <c r="A9" s="3" t="s">
        <v>29</v>
      </c>
      <c r="B9" s="4" t="s">
        <v>30</v>
      </c>
      <c r="C9" s="3" t="s">
        <v>244</v>
      </c>
      <c r="D9" s="3" t="s">
        <v>239</v>
      </c>
      <c r="E9" s="3" t="s">
        <v>237</v>
      </c>
      <c r="F9" s="3" t="s">
        <v>244</v>
      </c>
      <c r="G9" s="3" t="s">
        <v>237</v>
      </c>
      <c r="H9" s="3" t="s">
        <v>235</v>
      </c>
      <c r="I9" s="3">
        <f t="shared" si="0"/>
        <v>2.4500000000000002</v>
      </c>
    </row>
    <row r="10" spans="1:9" x14ac:dyDescent="0.25">
      <c r="A10" s="3" t="s">
        <v>31</v>
      </c>
      <c r="B10" s="4" t="s">
        <v>32</v>
      </c>
      <c r="C10" s="3" t="s">
        <v>238</v>
      </c>
      <c r="D10" s="3" t="s">
        <v>238</v>
      </c>
      <c r="E10" s="3" t="s">
        <v>236</v>
      </c>
      <c r="F10" s="3" t="s">
        <v>238</v>
      </c>
      <c r="G10" s="3" t="s">
        <v>242</v>
      </c>
      <c r="H10" s="3" t="s">
        <v>236</v>
      </c>
      <c r="I10" s="3">
        <f t="shared" si="0"/>
        <v>3.21</v>
      </c>
    </row>
    <row r="11" spans="1:9" x14ac:dyDescent="0.25">
      <c r="A11" s="3" t="s">
        <v>33</v>
      </c>
      <c r="B11" s="4" t="s">
        <v>34</v>
      </c>
      <c r="C11" s="3" t="s">
        <v>236</v>
      </c>
      <c r="D11" s="3" t="s">
        <v>237</v>
      </c>
      <c r="E11" s="3" t="s">
        <v>241</v>
      </c>
      <c r="F11" s="3" t="s">
        <v>236</v>
      </c>
      <c r="G11" s="3" t="s">
        <v>242</v>
      </c>
      <c r="H11" s="3" t="s">
        <v>235</v>
      </c>
      <c r="I11" s="3">
        <f t="shared" si="0"/>
        <v>3.61</v>
      </c>
    </row>
    <row r="12" spans="1:9" x14ac:dyDescent="0.25">
      <c r="A12" s="3" t="s">
        <v>35</v>
      </c>
      <c r="B12" s="4" t="s">
        <v>36</v>
      </c>
      <c r="C12" s="3" t="s">
        <v>235</v>
      </c>
      <c r="D12" s="3" t="s">
        <v>243</v>
      </c>
      <c r="E12" s="3" t="s">
        <v>242</v>
      </c>
      <c r="F12" s="3" t="s">
        <v>238</v>
      </c>
      <c r="G12" s="3" t="s">
        <v>242</v>
      </c>
      <c r="H12" s="3" t="s">
        <v>236</v>
      </c>
      <c r="I12" s="3">
        <f t="shared" si="0"/>
        <v>3.31</v>
      </c>
    </row>
    <row r="13" spans="1:9" x14ac:dyDescent="0.25">
      <c r="A13" s="3" t="s">
        <v>37</v>
      </c>
      <c r="B13" s="4" t="s">
        <v>38</v>
      </c>
      <c r="C13" s="3" t="s">
        <v>235</v>
      </c>
      <c r="D13" s="3" t="s">
        <v>243</v>
      </c>
      <c r="E13" s="3" t="s">
        <v>236</v>
      </c>
      <c r="F13" s="3" t="s">
        <v>237</v>
      </c>
      <c r="G13" s="3" t="s">
        <v>241</v>
      </c>
      <c r="H13" s="3" t="s">
        <v>241</v>
      </c>
      <c r="I13" s="3">
        <f t="shared" si="0"/>
        <v>3.33</v>
      </c>
    </row>
    <row r="14" spans="1:9" x14ac:dyDescent="0.25">
      <c r="A14" s="3" t="s">
        <v>39</v>
      </c>
      <c r="B14" s="4" t="s">
        <v>40</v>
      </c>
      <c r="C14" s="3" t="s">
        <v>236</v>
      </c>
      <c r="D14" s="3" t="s">
        <v>238</v>
      </c>
      <c r="E14" s="3" t="s">
        <v>237</v>
      </c>
      <c r="F14" s="3" t="s">
        <v>237</v>
      </c>
      <c r="G14" s="3" t="s">
        <v>238</v>
      </c>
      <c r="H14" s="3" t="s">
        <v>235</v>
      </c>
      <c r="I14" s="3">
        <f t="shared" si="0"/>
        <v>3.08</v>
      </c>
    </row>
    <row r="15" spans="1:9" x14ac:dyDescent="0.25">
      <c r="A15" s="3" t="s">
        <v>41</v>
      </c>
      <c r="B15" s="4" t="s">
        <v>275</v>
      </c>
      <c r="C15" s="3" t="s">
        <v>237</v>
      </c>
      <c r="D15" s="3" t="s">
        <v>238</v>
      </c>
      <c r="E15" s="3" t="s">
        <v>241</v>
      </c>
      <c r="F15" s="3" t="s">
        <v>237</v>
      </c>
      <c r="G15" s="3" t="s">
        <v>241</v>
      </c>
      <c r="H15" s="3" t="s">
        <v>241</v>
      </c>
      <c r="I15" s="3">
        <f t="shared" si="0"/>
        <v>3.41</v>
      </c>
    </row>
    <row r="16" spans="1:9" x14ac:dyDescent="0.25">
      <c r="A16" s="3" t="s">
        <v>43</v>
      </c>
      <c r="B16" s="4" t="s">
        <v>44</v>
      </c>
      <c r="C16" s="3" t="s">
        <v>252</v>
      </c>
      <c r="D16" s="3" t="s">
        <v>244</v>
      </c>
      <c r="E16" s="3" t="s">
        <v>238</v>
      </c>
      <c r="F16" s="3" t="s">
        <v>244</v>
      </c>
      <c r="G16" s="3" t="s">
        <v>243</v>
      </c>
      <c r="H16" s="3" t="s">
        <v>237</v>
      </c>
      <c r="I16" s="3">
        <f t="shared" si="0"/>
        <v>2.11</v>
      </c>
    </row>
    <row r="17" spans="1:9" x14ac:dyDescent="0.25">
      <c r="A17" s="3" t="s">
        <v>45</v>
      </c>
      <c r="B17" s="4" t="s">
        <v>46</v>
      </c>
      <c r="C17" s="3" t="s">
        <v>236</v>
      </c>
      <c r="D17" s="3" t="s">
        <v>238</v>
      </c>
      <c r="E17" s="3" t="s">
        <v>242</v>
      </c>
      <c r="F17" s="3" t="s">
        <v>236</v>
      </c>
      <c r="G17" s="3" t="s">
        <v>241</v>
      </c>
      <c r="H17" s="3" t="s">
        <v>236</v>
      </c>
      <c r="I17" s="3">
        <f t="shared" si="0"/>
        <v>3.6</v>
      </c>
    </row>
    <row r="18" spans="1:9" x14ac:dyDescent="0.25">
      <c r="A18" s="3" t="s">
        <v>47</v>
      </c>
      <c r="B18" s="4" t="s">
        <v>48</v>
      </c>
      <c r="C18" s="3" t="s">
        <v>236</v>
      </c>
      <c r="D18" s="3" t="s">
        <v>236</v>
      </c>
      <c r="E18" s="3" t="s">
        <v>242</v>
      </c>
      <c r="F18" s="3" t="s">
        <v>242</v>
      </c>
      <c r="G18" s="3" t="s">
        <v>236</v>
      </c>
      <c r="H18" s="3" t="s">
        <v>241</v>
      </c>
      <c r="I18" s="3">
        <f t="shared" si="0"/>
        <v>3.84</v>
      </c>
    </row>
    <row r="19" spans="1:9" x14ac:dyDescent="0.25">
      <c r="A19" s="3" t="s">
        <v>49</v>
      </c>
      <c r="B19" s="4" t="s">
        <v>50</v>
      </c>
      <c r="C19" s="3" t="s">
        <v>243</v>
      </c>
      <c r="D19" s="3" t="s">
        <v>244</v>
      </c>
      <c r="E19" s="3" t="s">
        <v>243</v>
      </c>
      <c r="F19" s="3" t="s">
        <v>238</v>
      </c>
      <c r="G19" s="3" t="s">
        <v>235</v>
      </c>
      <c r="H19" s="3" t="s">
        <v>237</v>
      </c>
      <c r="I19" s="3">
        <f t="shared" si="0"/>
        <v>2.52</v>
      </c>
    </row>
    <row r="20" spans="1:9" x14ac:dyDescent="0.25">
      <c r="A20" s="3" t="s">
        <v>51</v>
      </c>
      <c r="B20" s="4" t="s">
        <v>52</v>
      </c>
      <c r="C20" s="3" t="s">
        <v>236</v>
      </c>
      <c r="D20" s="3" t="s">
        <v>238</v>
      </c>
      <c r="E20" s="3" t="s">
        <v>242</v>
      </c>
      <c r="F20" s="3" t="s">
        <v>236</v>
      </c>
      <c r="G20" s="3" t="s">
        <v>241</v>
      </c>
      <c r="H20" s="3" t="s">
        <v>236</v>
      </c>
      <c r="I20" s="3">
        <f t="shared" si="0"/>
        <v>3.6</v>
      </c>
    </row>
    <row r="21" spans="1:9" ht="15.75" customHeight="1" x14ac:dyDescent="0.25">
      <c r="A21" s="3" t="s">
        <v>53</v>
      </c>
      <c r="B21" s="4" t="s">
        <v>54</v>
      </c>
      <c r="C21" s="3" t="s">
        <v>242</v>
      </c>
      <c r="D21" s="3" t="s">
        <v>235</v>
      </c>
      <c r="E21" s="3" t="s">
        <v>241</v>
      </c>
      <c r="F21" s="3" t="s">
        <v>236</v>
      </c>
      <c r="G21" s="3" t="s">
        <v>242</v>
      </c>
      <c r="H21" s="3" t="s">
        <v>242</v>
      </c>
      <c r="I21" s="3">
        <f t="shared" si="0"/>
        <v>3.82</v>
      </c>
    </row>
    <row r="22" spans="1:9" ht="15.75" customHeight="1" x14ac:dyDescent="0.25">
      <c r="A22" s="3" t="s">
        <v>55</v>
      </c>
      <c r="B22" s="4" t="s">
        <v>56</v>
      </c>
      <c r="C22" s="3" t="s">
        <v>237</v>
      </c>
      <c r="D22" s="3" t="s">
        <v>244</v>
      </c>
      <c r="E22" s="3" t="s">
        <v>236</v>
      </c>
      <c r="F22" s="3" t="s">
        <v>237</v>
      </c>
      <c r="G22" s="3" t="s">
        <v>235</v>
      </c>
      <c r="H22" s="3" t="s">
        <v>241</v>
      </c>
      <c r="I22" s="3">
        <f t="shared" si="0"/>
        <v>3.11</v>
      </c>
    </row>
    <row r="23" spans="1:9" ht="15.75" customHeight="1" x14ac:dyDescent="0.25">
      <c r="A23" s="3" t="s">
        <v>57</v>
      </c>
      <c r="B23" s="4" t="s">
        <v>58</v>
      </c>
      <c r="C23" s="3" t="s">
        <v>238</v>
      </c>
      <c r="D23" s="3" t="s">
        <v>243</v>
      </c>
      <c r="E23" s="3" t="s">
        <v>235</v>
      </c>
      <c r="F23" s="3" t="s">
        <v>238</v>
      </c>
      <c r="G23" s="3" t="s">
        <v>235</v>
      </c>
      <c r="H23" s="3" t="s">
        <v>236</v>
      </c>
      <c r="I23" s="3">
        <f t="shared" si="0"/>
        <v>2.95</v>
      </c>
    </row>
    <row r="24" spans="1:9" ht="15.75" customHeight="1" x14ac:dyDescent="0.25">
      <c r="A24" s="3" t="s">
        <v>59</v>
      </c>
      <c r="B24" s="4" t="s">
        <v>60</v>
      </c>
      <c r="C24" s="3" t="s">
        <v>235</v>
      </c>
      <c r="D24" s="3" t="s">
        <v>238</v>
      </c>
      <c r="E24" s="3" t="s">
        <v>241</v>
      </c>
      <c r="F24" s="3" t="s">
        <v>235</v>
      </c>
      <c r="G24" s="3" t="s">
        <v>241</v>
      </c>
      <c r="H24" s="3" t="s">
        <v>235</v>
      </c>
      <c r="I24" s="3">
        <f t="shared" si="0"/>
        <v>3.41</v>
      </c>
    </row>
    <row r="25" spans="1:9" ht="15.75" customHeight="1" x14ac:dyDescent="0.25">
      <c r="A25" s="3" t="s">
        <v>61</v>
      </c>
      <c r="B25" s="4" t="s">
        <v>62</v>
      </c>
      <c r="C25" s="3" t="s">
        <v>235</v>
      </c>
      <c r="D25" s="3" t="s">
        <v>244</v>
      </c>
      <c r="E25" s="3" t="s">
        <v>235</v>
      </c>
      <c r="F25" s="3" t="s">
        <v>238</v>
      </c>
      <c r="G25" s="3" t="s">
        <v>235</v>
      </c>
      <c r="H25" s="3" t="s">
        <v>237</v>
      </c>
      <c r="I25" s="3">
        <f t="shared" si="0"/>
        <v>2.92</v>
      </c>
    </row>
    <row r="26" spans="1:9" ht="15.75" customHeight="1" x14ac:dyDescent="0.25">
      <c r="A26" s="3" t="s">
        <v>63</v>
      </c>
      <c r="B26" s="4" t="s">
        <v>64</v>
      </c>
      <c r="C26" s="3" t="s">
        <v>238</v>
      </c>
      <c r="D26" s="3" t="s">
        <v>239</v>
      </c>
      <c r="E26" s="3" t="s">
        <v>238</v>
      </c>
      <c r="F26" s="3" t="s">
        <v>239</v>
      </c>
      <c r="G26" s="3" t="s">
        <v>236</v>
      </c>
      <c r="H26" s="3" t="s">
        <v>237</v>
      </c>
      <c r="I26" s="3">
        <f t="shared" si="0"/>
        <v>2.54</v>
      </c>
    </row>
    <row r="27" spans="1:9" ht="15.75" customHeight="1" x14ac:dyDescent="0.25">
      <c r="A27" s="3" t="s">
        <v>65</v>
      </c>
      <c r="B27" s="4" t="s">
        <v>66</v>
      </c>
      <c r="C27" s="3" t="s">
        <v>243</v>
      </c>
      <c r="D27" s="3" t="s">
        <v>238</v>
      </c>
      <c r="E27" s="3" t="s">
        <v>237</v>
      </c>
      <c r="F27" s="3" t="s">
        <v>237</v>
      </c>
      <c r="G27" s="3" t="s">
        <v>235</v>
      </c>
      <c r="H27" s="3" t="s">
        <v>235</v>
      </c>
      <c r="I27" s="3">
        <f t="shared" si="0"/>
        <v>2.88</v>
      </c>
    </row>
    <row r="28" spans="1:9" ht="15.75" customHeight="1" x14ac:dyDescent="0.25">
      <c r="A28" s="3" t="s">
        <v>67</v>
      </c>
      <c r="B28" s="4" t="s">
        <v>68</v>
      </c>
      <c r="C28" s="3" t="s">
        <v>241</v>
      </c>
      <c r="D28" s="3" t="s">
        <v>236</v>
      </c>
      <c r="E28" s="3" t="s">
        <v>242</v>
      </c>
      <c r="F28" s="3" t="s">
        <v>242</v>
      </c>
      <c r="G28" s="3" t="s">
        <v>242</v>
      </c>
      <c r="H28" s="3" t="s">
        <v>236</v>
      </c>
      <c r="I28" s="3">
        <f t="shared" si="0"/>
        <v>3.9</v>
      </c>
    </row>
    <row r="29" spans="1:9" ht="15.75" customHeight="1" x14ac:dyDescent="0.25">
      <c r="A29" s="3" t="s">
        <v>69</v>
      </c>
      <c r="B29" s="4" t="s">
        <v>70</v>
      </c>
      <c r="C29" s="3" t="s">
        <v>236</v>
      </c>
      <c r="D29" s="3" t="s">
        <v>238</v>
      </c>
      <c r="E29" s="3" t="s">
        <v>242</v>
      </c>
      <c r="F29" s="3" t="s">
        <v>241</v>
      </c>
      <c r="G29" s="3" t="s">
        <v>242</v>
      </c>
      <c r="H29" s="3" t="s">
        <v>242</v>
      </c>
      <c r="I29" s="3">
        <f t="shared" si="0"/>
        <v>3.68</v>
      </c>
    </row>
    <row r="30" spans="1:9" ht="15.75" customHeight="1" x14ac:dyDescent="0.25">
      <c r="A30" s="3" t="s">
        <v>71</v>
      </c>
      <c r="B30" s="4" t="s">
        <v>72</v>
      </c>
      <c r="C30" s="3" t="s">
        <v>237</v>
      </c>
      <c r="D30" s="3" t="s">
        <v>237</v>
      </c>
      <c r="E30" s="3" t="s">
        <v>236</v>
      </c>
      <c r="F30" s="3" t="s">
        <v>241</v>
      </c>
      <c r="G30" s="3" t="s">
        <v>235</v>
      </c>
      <c r="H30" s="3" t="s">
        <v>242</v>
      </c>
      <c r="I30" s="3">
        <f t="shared" si="0"/>
        <v>3.45</v>
      </c>
    </row>
    <row r="31" spans="1:9" ht="15.75" customHeight="1" x14ac:dyDescent="0.25">
      <c r="A31" s="3" t="s">
        <v>73</v>
      </c>
      <c r="B31" s="4" t="s">
        <v>74</v>
      </c>
      <c r="C31" s="3" t="s">
        <v>237</v>
      </c>
      <c r="D31" s="3" t="s">
        <v>244</v>
      </c>
      <c r="E31" s="3" t="s">
        <v>235</v>
      </c>
      <c r="F31" s="3" t="s">
        <v>238</v>
      </c>
      <c r="G31" s="3" t="s">
        <v>241</v>
      </c>
      <c r="H31" s="3" t="s">
        <v>241</v>
      </c>
      <c r="I31" s="3">
        <f t="shared" si="0"/>
        <v>3.09</v>
      </c>
    </row>
    <row r="32" spans="1:9" ht="15.75" customHeight="1" x14ac:dyDescent="0.25">
      <c r="A32" s="3" t="s">
        <v>75</v>
      </c>
      <c r="B32" s="4" t="s">
        <v>76</v>
      </c>
      <c r="C32" s="3" t="s">
        <v>238</v>
      </c>
      <c r="D32" s="3" t="s">
        <v>244</v>
      </c>
      <c r="E32" s="3" t="s">
        <v>237</v>
      </c>
      <c r="F32" s="3" t="s">
        <v>237</v>
      </c>
      <c r="G32" s="3" t="s">
        <v>238</v>
      </c>
      <c r="H32" s="3" t="s">
        <v>235</v>
      </c>
      <c r="I32" s="3">
        <f t="shared" si="0"/>
        <v>2.74</v>
      </c>
    </row>
    <row r="33" spans="1:9" ht="15.75" customHeight="1" x14ac:dyDescent="0.25">
      <c r="A33" s="3" t="s">
        <v>77</v>
      </c>
      <c r="B33" s="4" t="s">
        <v>78</v>
      </c>
      <c r="C33" s="3" t="s">
        <v>238</v>
      </c>
      <c r="D33" s="3" t="s">
        <v>244</v>
      </c>
      <c r="E33" s="3" t="s">
        <v>236</v>
      </c>
      <c r="F33" s="3" t="s">
        <v>238</v>
      </c>
      <c r="G33" s="3" t="s">
        <v>235</v>
      </c>
      <c r="H33" s="3" t="s">
        <v>241</v>
      </c>
      <c r="I33" s="3">
        <f t="shared" si="0"/>
        <v>3.01</v>
      </c>
    </row>
    <row r="34" spans="1:9" ht="15.75" customHeight="1" x14ac:dyDescent="0.25">
      <c r="A34" s="3" t="s">
        <v>79</v>
      </c>
      <c r="B34" s="4" t="s">
        <v>80</v>
      </c>
      <c r="C34" s="3" t="s">
        <v>237</v>
      </c>
      <c r="D34" s="3" t="s">
        <v>243</v>
      </c>
      <c r="E34" s="3" t="s">
        <v>236</v>
      </c>
      <c r="F34" s="3" t="s">
        <v>238</v>
      </c>
      <c r="G34" s="3" t="s">
        <v>236</v>
      </c>
      <c r="H34" s="3" t="s">
        <v>236</v>
      </c>
      <c r="I34" s="3">
        <f t="shared" si="0"/>
        <v>3.15</v>
      </c>
    </row>
    <row r="35" spans="1:9" ht="15.75" customHeight="1" x14ac:dyDescent="0.25">
      <c r="A35" s="3" t="s">
        <v>81</v>
      </c>
      <c r="B35" s="4" t="s">
        <v>82</v>
      </c>
      <c r="C35" s="3" t="s">
        <v>241</v>
      </c>
      <c r="D35" s="3" t="s">
        <v>237</v>
      </c>
      <c r="E35" s="3" t="s">
        <v>242</v>
      </c>
      <c r="F35" s="3" t="s">
        <v>236</v>
      </c>
      <c r="G35" s="3" t="s">
        <v>242</v>
      </c>
      <c r="H35" s="3" t="s">
        <v>241</v>
      </c>
      <c r="I35" s="3">
        <f t="shared" ref="I35:I66" si="1">IFERROR(
ROUND(
(
(IF(C35="A+", 4, IF(C35="A", 4, IF(C35="A-", 3.7, IF(C35="B+", 3.3, IF(C35="B", 3, IF(C35="B-", 2.7, IF(C35="C+", 2.3, IF(C35="C", 2, IF(C35="C-", 1.7, IF(C35="D+", 1.3, IF(C35="D", 1, IF(C35="E", 0, 0))))))))))))) * 3 +
(IF(D35="A+", 4, IF(D35="A", 4, IF(D35="A-", 3.7, IF(D35="B+", 3.3, IF(D35="B", 3, IF(D35="B-", 2.7, IF(D35="C+", 2.3, IF(D35="C", 2, IF(D35="C-", 1.7, IF(D35="D+", 1.3, IF(D35="D", 1, IF(D35="E", 0, 0))))))))))))) * 3 +
(IF(E35="A+", 4, IF(E35="A", 4, IF(E35="A-", 3.7, IF(E35="B+", 3.3, IF(E35="B", 3, IF(E35="B-", 2.7, IF(E35="C+", 2.3, IF(E35="C", 2, IF(E35="C-", 1.7, IF(E35="D+", 1.3, IF(E35="D", 1, IF(E35="E", 0, 0))))))))))))) * 3 +
(IF(F35="A+", 4, IF(F35="A", 4, IF(F35="A-", 3.7, IF(F35="B+", 3.3, IF(F35="B", 3, IF(F35="B-", 2.7, IF(F35="C+", 2.3, IF(F35="C", 2, IF(F35="C-", 1.7, IF(F35="D+", 1.3, IF(F35="D", 1, IF(F35="E", 0, 0))))))))))))) * 2 +
(IF(G35="A+", 4, IF(G35="A", 4, IF(G35="A-", 3.7, IF(G35="B+", 3.3, IF(G35="B", 3, IF(G35="B-", 2.7, IF(G35="C+", 2.3, IF(G35="C", 2, IF(G35="C-", 1.7, IF(G35="D+", 1.3, IF(G35="D", 1, IF(G35="E", 0, 0))))))))))))) * 2 +
(IF(H35="A+", 4, IF(H35="A", 4, IF(H35="A-", 3.7, IF(H35="B+", 3.3, IF(H35="B", 3, IF(H35="B-", 2.7, IF(H35="C+", 2.3, IF(H35="C", 2, IF(H35="C-", 1.7, IF(H35="D+", 1.3, IF(H35="D", 1, IF(H35="E", 0, 0))))))))))))) *
2) /
(3 + 3 + 3 + 2 + 2 + 2),
2),
0)</f>
        <v>3.76</v>
      </c>
    </row>
    <row r="36" spans="1:9" ht="15.75" customHeight="1" x14ac:dyDescent="0.25">
      <c r="A36" s="3" t="s">
        <v>83</v>
      </c>
      <c r="B36" s="4" t="s">
        <v>84</v>
      </c>
      <c r="C36" s="3" t="s">
        <v>235</v>
      </c>
      <c r="D36" s="3" t="s">
        <v>237</v>
      </c>
      <c r="E36" s="3" t="s">
        <v>236</v>
      </c>
      <c r="F36" s="3" t="s">
        <v>237</v>
      </c>
      <c r="G36" s="3" t="s">
        <v>236</v>
      </c>
      <c r="H36" s="3" t="s">
        <v>236</v>
      </c>
      <c r="I36" s="3">
        <f t="shared" si="1"/>
        <v>3.39</v>
      </c>
    </row>
    <row r="37" spans="1:9" ht="15.75" customHeight="1" x14ac:dyDescent="0.25">
      <c r="A37" s="3" t="s">
        <v>85</v>
      </c>
      <c r="B37" s="4" t="s">
        <v>86</v>
      </c>
      <c r="C37" s="3" t="s">
        <v>241</v>
      </c>
      <c r="D37" s="3" t="s">
        <v>238</v>
      </c>
      <c r="E37" s="3" t="s">
        <v>236</v>
      </c>
      <c r="F37" s="3" t="s">
        <v>237</v>
      </c>
      <c r="G37" s="3" t="s">
        <v>241</v>
      </c>
      <c r="H37" s="3" t="s">
        <v>237</v>
      </c>
      <c r="I37" s="3">
        <f t="shared" si="1"/>
        <v>3.41</v>
      </c>
    </row>
    <row r="38" spans="1:9" ht="15.75" customHeight="1" x14ac:dyDescent="0.25">
      <c r="A38" s="3" t="s">
        <v>87</v>
      </c>
      <c r="B38" s="4" t="s">
        <v>88</v>
      </c>
      <c r="C38" s="3" t="s">
        <v>237</v>
      </c>
      <c r="D38" s="3" t="s">
        <v>238</v>
      </c>
      <c r="E38" s="3" t="s">
        <v>235</v>
      </c>
      <c r="F38" s="3" t="s">
        <v>237</v>
      </c>
      <c r="G38" s="3" t="s">
        <v>235</v>
      </c>
      <c r="H38" s="3" t="s">
        <v>236</v>
      </c>
      <c r="I38" s="3">
        <f t="shared" si="1"/>
        <v>3.13</v>
      </c>
    </row>
    <row r="39" spans="1:9" ht="15.75" customHeight="1" x14ac:dyDescent="0.25">
      <c r="A39" s="3" t="s">
        <v>89</v>
      </c>
      <c r="B39" s="4" t="s">
        <v>90</v>
      </c>
      <c r="C39" s="3" t="s">
        <v>241</v>
      </c>
      <c r="D39" s="3" t="s">
        <v>235</v>
      </c>
      <c r="E39" s="3" t="s">
        <v>235</v>
      </c>
      <c r="F39" s="3" t="s">
        <v>236</v>
      </c>
      <c r="G39" s="3" t="s">
        <v>241</v>
      </c>
      <c r="H39" s="3" t="s">
        <v>241</v>
      </c>
      <c r="I39" s="3">
        <f t="shared" si="1"/>
        <v>3.68</v>
      </c>
    </row>
    <row r="40" spans="1:9" ht="15.75" customHeight="1" x14ac:dyDescent="0.25">
      <c r="A40" s="3" t="s">
        <v>91</v>
      </c>
      <c r="B40" s="4" t="s">
        <v>92</v>
      </c>
      <c r="C40" s="3" t="s">
        <v>241</v>
      </c>
      <c r="D40" s="3" t="s">
        <v>237</v>
      </c>
      <c r="E40" s="3" t="s">
        <v>242</v>
      </c>
      <c r="F40" s="3" t="s">
        <v>242</v>
      </c>
      <c r="G40" s="3" t="s">
        <v>242</v>
      </c>
      <c r="H40" s="3" t="s">
        <v>235</v>
      </c>
      <c r="I40" s="3">
        <f t="shared" si="1"/>
        <v>3.71</v>
      </c>
    </row>
    <row r="41" spans="1:9" ht="15.75" customHeight="1" x14ac:dyDescent="0.25">
      <c r="A41" s="3" t="s">
        <v>93</v>
      </c>
      <c r="B41" s="4" t="s">
        <v>94</v>
      </c>
      <c r="C41" s="3" t="s">
        <v>241</v>
      </c>
      <c r="D41" s="3" t="s">
        <v>237</v>
      </c>
      <c r="E41" s="3" t="s">
        <v>241</v>
      </c>
      <c r="F41" s="3" t="s">
        <v>241</v>
      </c>
      <c r="G41" s="3" t="s">
        <v>241</v>
      </c>
      <c r="H41" s="3" t="s">
        <v>236</v>
      </c>
      <c r="I41" s="3">
        <f t="shared" si="1"/>
        <v>3.76</v>
      </c>
    </row>
    <row r="42" spans="1:9" ht="15.75" customHeight="1" x14ac:dyDescent="0.25">
      <c r="A42" s="3" t="s">
        <v>95</v>
      </c>
      <c r="B42" s="4" t="s">
        <v>96</v>
      </c>
      <c r="C42" s="3" t="s">
        <v>241</v>
      </c>
      <c r="D42" s="3" t="s">
        <v>238</v>
      </c>
      <c r="E42" s="3" t="s">
        <v>242</v>
      </c>
      <c r="F42" s="3" t="s">
        <v>236</v>
      </c>
      <c r="G42" s="3" t="s">
        <v>241</v>
      </c>
      <c r="H42" s="3" t="s">
        <v>235</v>
      </c>
      <c r="I42" s="3">
        <f t="shared" si="1"/>
        <v>3.61</v>
      </c>
    </row>
    <row r="43" spans="1:9" ht="15.75" customHeight="1" x14ac:dyDescent="0.25">
      <c r="A43" s="3" t="s">
        <v>97</v>
      </c>
      <c r="B43" s="4" t="s">
        <v>98</v>
      </c>
      <c r="C43" s="3" t="s">
        <v>236</v>
      </c>
      <c r="D43" s="3" t="s">
        <v>243</v>
      </c>
      <c r="E43" s="3" t="s">
        <v>242</v>
      </c>
      <c r="F43" s="3" t="s">
        <v>242</v>
      </c>
      <c r="G43" s="3" t="s">
        <v>241</v>
      </c>
      <c r="H43" s="3" t="s">
        <v>236</v>
      </c>
      <c r="I43" s="3">
        <f t="shared" si="1"/>
        <v>3.56</v>
      </c>
    </row>
    <row r="44" spans="1:9" ht="15.75" customHeight="1" x14ac:dyDescent="0.25">
      <c r="A44" s="3" t="s">
        <v>99</v>
      </c>
      <c r="B44" s="4" t="s">
        <v>100</v>
      </c>
      <c r="C44" s="3" t="s">
        <v>236</v>
      </c>
      <c r="D44" s="3" t="s">
        <v>243</v>
      </c>
      <c r="E44" s="3" t="s">
        <v>242</v>
      </c>
      <c r="F44" s="3" t="s">
        <v>241</v>
      </c>
      <c r="G44" s="3" t="s">
        <v>242</v>
      </c>
      <c r="H44" s="3" t="s">
        <v>241</v>
      </c>
      <c r="I44" s="3">
        <f t="shared" si="1"/>
        <v>3.6</v>
      </c>
    </row>
    <row r="45" spans="1:9" ht="15.75" customHeight="1" x14ac:dyDescent="0.25">
      <c r="A45" s="3" t="s">
        <v>101</v>
      </c>
      <c r="B45" s="4" t="s">
        <v>102</v>
      </c>
      <c r="C45" s="3" t="s">
        <v>236</v>
      </c>
      <c r="D45" s="3" t="s">
        <v>241</v>
      </c>
      <c r="E45" s="3" t="s">
        <v>242</v>
      </c>
      <c r="F45" s="3" t="s">
        <v>242</v>
      </c>
      <c r="G45" s="3" t="s">
        <v>242</v>
      </c>
      <c r="H45" s="3" t="s">
        <v>242</v>
      </c>
      <c r="I45" s="3">
        <f t="shared" si="1"/>
        <v>3.94</v>
      </c>
    </row>
    <row r="46" spans="1:9" ht="15.75" customHeight="1" x14ac:dyDescent="0.25">
      <c r="A46" s="3" t="s">
        <v>103</v>
      </c>
      <c r="B46" s="4" t="s">
        <v>104</v>
      </c>
      <c r="C46" s="3" t="s">
        <v>241</v>
      </c>
      <c r="D46" s="3" t="s">
        <v>235</v>
      </c>
      <c r="E46" s="3" t="s">
        <v>242</v>
      </c>
      <c r="F46" s="3" t="s">
        <v>237</v>
      </c>
      <c r="G46" s="3" t="s">
        <v>242</v>
      </c>
      <c r="H46" s="3" t="s">
        <v>241</v>
      </c>
      <c r="I46" s="3">
        <f t="shared" si="1"/>
        <v>3.73</v>
      </c>
    </row>
    <row r="47" spans="1:9" ht="15.75" customHeight="1" x14ac:dyDescent="0.25">
      <c r="A47" s="3" t="s">
        <v>105</v>
      </c>
      <c r="B47" s="4" t="s">
        <v>106</v>
      </c>
      <c r="C47" s="3" t="s">
        <v>243</v>
      </c>
      <c r="D47" s="3" t="s">
        <v>244</v>
      </c>
      <c r="E47" s="3" t="s">
        <v>252</v>
      </c>
      <c r="F47" s="3" t="s">
        <v>239</v>
      </c>
      <c r="G47" s="3" t="s">
        <v>235</v>
      </c>
      <c r="H47" s="3" t="s">
        <v>236</v>
      </c>
      <c r="I47" s="3">
        <f t="shared" si="1"/>
        <v>2.2200000000000002</v>
      </c>
    </row>
    <row r="48" spans="1:9" ht="15.75" customHeight="1" x14ac:dyDescent="0.25">
      <c r="A48" s="3" t="s">
        <v>107</v>
      </c>
      <c r="B48" s="4" t="s">
        <v>108</v>
      </c>
      <c r="C48" s="3" t="s">
        <v>241</v>
      </c>
      <c r="D48" s="3" t="s">
        <v>238</v>
      </c>
      <c r="E48" s="3" t="s">
        <v>241</v>
      </c>
      <c r="F48" s="3" t="s">
        <v>236</v>
      </c>
      <c r="G48" s="3" t="s">
        <v>242</v>
      </c>
      <c r="H48" s="3" t="s">
        <v>236</v>
      </c>
      <c r="I48" s="3">
        <f t="shared" si="1"/>
        <v>3.66</v>
      </c>
    </row>
    <row r="49" spans="1:9" ht="15.75" customHeight="1" x14ac:dyDescent="0.25">
      <c r="A49" s="3" t="s">
        <v>109</v>
      </c>
      <c r="B49" s="4" t="s">
        <v>110</v>
      </c>
      <c r="C49" s="3" t="s">
        <v>236</v>
      </c>
      <c r="D49" s="3" t="s">
        <v>243</v>
      </c>
      <c r="E49" s="3" t="s">
        <v>236</v>
      </c>
      <c r="F49" s="3" t="s">
        <v>238</v>
      </c>
      <c r="G49" s="3" t="s">
        <v>235</v>
      </c>
      <c r="H49" s="3" t="s">
        <v>235</v>
      </c>
      <c r="I49" s="3">
        <f t="shared" si="1"/>
        <v>3.18</v>
      </c>
    </row>
    <row r="50" spans="1:9" ht="15.75" customHeight="1" x14ac:dyDescent="0.25">
      <c r="A50" s="3" t="s">
        <v>111</v>
      </c>
      <c r="B50" s="4" t="s">
        <v>112</v>
      </c>
      <c r="C50" s="3" t="s">
        <v>242</v>
      </c>
      <c r="D50" s="3" t="s">
        <v>237</v>
      </c>
      <c r="E50" s="3" t="s">
        <v>242</v>
      </c>
      <c r="F50" s="3" t="s">
        <v>236</v>
      </c>
      <c r="G50" s="3" t="s">
        <v>242</v>
      </c>
      <c r="H50" s="3" t="s">
        <v>235</v>
      </c>
      <c r="I50" s="3">
        <f t="shared" si="1"/>
        <v>3.67</v>
      </c>
    </row>
    <row r="51" spans="1:9" ht="15.75" customHeight="1" x14ac:dyDescent="0.25">
      <c r="A51" s="3" t="s">
        <v>113</v>
      </c>
      <c r="B51" s="4" t="s">
        <v>114</v>
      </c>
      <c r="C51" s="3" t="s">
        <v>235</v>
      </c>
      <c r="D51" s="3" t="s">
        <v>244</v>
      </c>
      <c r="E51" s="3" t="s">
        <v>236</v>
      </c>
      <c r="F51" s="3" t="s">
        <v>243</v>
      </c>
      <c r="G51" s="3" t="s">
        <v>236</v>
      </c>
      <c r="H51" s="3" t="s">
        <v>241</v>
      </c>
      <c r="I51" s="3">
        <f t="shared" si="1"/>
        <v>3.13</v>
      </c>
    </row>
    <row r="52" spans="1:9" ht="15.75" customHeight="1" x14ac:dyDescent="0.25">
      <c r="A52" s="3" t="s">
        <v>115</v>
      </c>
      <c r="B52" s="4" t="s">
        <v>116</v>
      </c>
      <c r="C52" s="3" t="s">
        <v>236</v>
      </c>
      <c r="D52" s="3" t="s">
        <v>237</v>
      </c>
      <c r="E52" s="3" t="s">
        <v>242</v>
      </c>
      <c r="F52" s="3" t="s">
        <v>241</v>
      </c>
      <c r="G52" s="3" t="s">
        <v>242</v>
      </c>
      <c r="H52" s="3" t="s">
        <v>236</v>
      </c>
      <c r="I52" s="3">
        <f t="shared" si="1"/>
        <v>3.7</v>
      </c>
    </row>
    <row r="53" spans="1:9" ht="15.75" customHeight="1" x14ac:dyDescent="0.25">
      <c r="A53" s="3" t="s">
        <v>117</v>
      </c>
      <c r="B53" s="4" t="s">
        <v>118</v>
      </c>
      <c r="C53" s="3" t="s">
        <v>241</v>
      </c>
      <c r="D53" s="3" t="s">
        <v>241</v>
      </c>
      <c r="E53" s="3" t="s">
        <v>242</v>
      </c>
      <c r="F53" s="3" t="s">
        <v>241</v>
      </c>
      <c r="G53" s="3" t="s">
        <v>242</v>
      </c>
      <c r="H53" s="3" t="s">
        <v>241</v>
      </c>
      <c r="I53" s="3">
        <f t="shared" si="1"/>
        <v>4</v>
      </c>
    </row>
    <row r="54" spans="1:9" ht="15.75" customHeight="1" x14ac:dyDescent="0.25">
      <c r="A54" s="3" t="s">
        <v>119</v>
      </c>
      <c r="B54" s="4" t="s">
        <v>120</v>
      </c>
      <c r="C54" s="3" t="s">
        <v>235</v>
      </c>
      <c r="D54" s="3" t="s">
        <v>238</v>
      </c>
      <c r="E54" s="3" t="s">
        <v>241</v>
      </c>
      <c r="F54" s="3" t="s">
        <v>236</v>
      </c>
      <c r="G54" s="3" t="s">
        <v>236</v>
      </c>
      <c r="H54" s="3" t="s">
        <v>236</v>
      </c>
      <c r="I54" s="3">
        <f t="shared" si="1"/>
        <v>3.48</v>
      </c>
    </row>
    <row r="55" spans="1:9" ht="15.75" customHeight="1" x14ac:dyDescent="0.25">
      <c r="A55" s="3" t="s">
        <v>121</v>
      </c>
      <c r="B55" s="4" t="s">
        <v>122</v>
      </c>
      <c r="C55" s="3" t="s">
        <v>237</v>
      </c>
      <c r="D55" s="3" t="s">
        <v>239</v>
      </c>
      <c r="E55" s="3" t="s">
        <v>242</v>
      </c>
      <c r="F55" s="3" t="s">
        <v>239</v>
      </c>
      <c r="G55" s="3" t="s">
        <v>236</v>
      </c>
      <c r="H55" s="3" t="s">
        <v>235</v>
      </c>
      <c r="I55" s="3">
        <f t="shared" si="1"/>
        <v>2.9</v>
      </c>
    </row>
    <row r="56" spans="1:9" ht="15.75" customHeight="1" x14ac:dyDescent="0.25">
      <c r="A56" s="3" t="s">
        <v>123</v>
      </c>
      <c r="B56" s="4" t="s">
        <v>124</v>
      </c>
      <c r="C56" s="3" t="s">
        <v>236</v>
      </c>
      <c r="D56" s="3" t="s">
        <v>238</v>
      </c>
      <c r="E56" s="3" t="s">
        <v>241</v>
      </c>
      <c r="F56" s="3" t="s">
        <v>235</v>
      </c>
      <c r="G56" s="3" t="s">
        <v>236</v>
      </c>
      <c r="H56" s="3" t="s">
        <v>241</v>
      </c>
      <c r="I56" s="3">
        <f t="shared" si="1"/>
        <v>3.55</v>
      </c>
    </row>
    <row r="57" spans="1:9" ht="15.75" customHeight="1" x14ac:dyDescent="0.25">
      <c r="A57" s="3" t="s">
        <v>125</v>
      </c>
      <c r="B57" s="4" t="s">
        <v>126</v>
      </c>
      <c r="C57" s="3" t="s">
        <v>242</v>
      </c>
      <c r="D57" s="3" t="s">
        <v>237</v>
      </c>
      <c r="E57" s="3" t="s">
        <v>242</v>
      </c>
      <c r="F57" s="3" t="s">
        <v>242</v>
      </c>
      <c r="G57" s="3" t="s">
        <v>242</v>
      </c>
      <c r="H57" s="3" t="s">
        <v>241</v>
      </c>
      <c r="I57" s="3">
        <f t="shared" si="1"/>
        <v>3.8</v>
      </c>
    </row>
    <row r="58" spans="1:9" ht="15.75" customHeight="1" x14ac:dyDescent="0.25">
      <c r="A58" s="3" t="s">
        <v>127</v>
      </c>
      <c r="B58" s="4" t="s">
        <v>128</v>
      </c>
      <c r="C58" s="3" t="s">
        <v>242</v>
      </c>
      <c r="D58" s="3" t="s">
        <v>236</v>
      </c>
      <c r="E58" s="3" t="s">
        <v>242</v>
      </c>
      <c r="F58" s="3" t="s">
        <v>241</v>
      </c>
      <c r="G58" s="3" t="s">
        <v>242</v>
      </c>
      <c r="H58" s="3" t="s">
        <v>241</v>
      </c>
      <c r="I58" s="3">
        <f t="shared" si="1"/>
        <v>3.94</v>
      </c>
    </row>
    <row r="59" spans="1:9" ht="15.75" customHeight="1" x14ac:dyDescent="0.25">
      <c r="A59" s="3" t="s">
        <v>129</v>
      </c>
      <c r="B59" s="4" t="s">
        <v>130</v>
      </c>
      <c r="C59" s="3" t="s">
        <v>238</v>
      </c>
      <c r="D59" s="3" t="s">
        <v>244</v>
      </c>
      <c r="E59" s="3" t="s">
        <v>235</v>
      </c>
      <c r="F59" s="3" t="s">
        <v>237</v>
      </c>
      <c r="G59" s="3" t="s">
        <v>235</v>
      </c>
      <c r="H59" s="3" t="s">
        <v>241</v>
      </c>
      <c r="I59" s="3">
        <f t="shared" si="1"/>
        <v>2.97</v>
      </c>
    </row>
    <row r="60" spans="1:9" ht="15.75" customHeight="1" x14ac:dyDescent="0.25">
      <c r="A60" s="3" t="s">
        <v>131</v>
      </c>
      <c r="B60" s="4" t="s">
        <v>132</v>
      </c>
      <c r="C60" s="3" t="s">
        <v>237</v>
      </c>
      <c r="D60" s="3" t="s">
        <v>237</v>
      </c>
      <c r="E60" s="3" t="s">
        <v>238</v>
      </c>
      <c r="F60" s="3" t="s">
        <v>238</v>
      </c>
      <c r="G60" s="3" t="s">
        <v>236</v>
      </c>
      <c r="H60" s="3" t="s">
        <v>237</v>
      </c>
      <c r="I60" s="3">
        <f t="shared" si="1"/>
        <v>2.99</v>
      </c>
    </row>
    <row r="61" spans="1:9" ht="15.75" customHeight="1" x14ac:dyDescent="0.25">
      <c r="A61" s="3" t="s">
        <v>133</v>
      </c>
      <c r="B61" s="4" t="s">
        <v>134</v>
      </c>
      <c r="C61" s="3" t="s">
        <v>235</v>
      </c>
      <c r="D61" s="3" t="s">
        <v>243</v>
      </c>
      <c r="E61" s="3" t="s">
        <v>235</v>
      </c>
      <c r="F61" s="3" t="s">
        <v>238</v>
      </c>
      <c r="G61" s="3" t="s">
        <v>236</v>
      </c>
      <c r="H61" s="3" t="s">
        <v>241</v>
      </c>
      <c r="I61" s="3">
        <f t="shared" si="1"/>
        <v>3.17</v>
      </c>
    </row>
    <row r="62" spans="1:9" ht="15.75" customHeight="1" x14ac:dyDescent="0.25">
      <c r="A62" s="3" t="s">
        <v>135</v>
      </c>
      <c r="B62" s="4" t="s">
        <v>136</v>
      </c>
      <c r="C62" s="3" t="s">
        <v>235</v>
      </c>
      <c r="D62" s="3" t="s">
        <v>243</v>
      </c>
      <c r="E62" s="3" t="s">
        <v>235</v>
      </c>
      <c r="F62" s="3" t="s">
        <v>239</v>
      </c>
      <c r="G62" s="3" t="s">
        <v>235</v>
      </c>
      <c r="H62" s="3" t="s">
        <v>235</v>
      </c>
      <c r="I62" s="3">
        <f t="shared" si="1"/>
        <v>2.89</v>
      </c>
    </row>
    <row r="63" spans="1:9" ht="15.75" customHeight="1" x14ac:dyDescent="0.25">
      <c r="A63" s="3" t="s">
        <v>137</v>
      </c>
      <c r="B63" s="4" t="s">
        <v>138</v>
      </c>
      <c r="C63" s="3" t="s">
        <v>238</v>
      </c>
      <c r="D63" s="3" t="s">
        <v>243</v>
      </c>
      <c r="E63" s="3" t="s">
        <v>239</v>
      </c>
      <c r="F63" s="3" t="s">
        <v>252</v>
      </c>
      <c r="G63" s="3" t="s">
        <v>243</v>
      </c>
      <c r="H63" s="3" t="s">
        <v>237</v>
      </c>
      <c r="I63" s="3">
        <f t="shared" si="1"/>
        <v>2.1800000000000002</v>
      </c>
    </row>
    <row r="64" spans="1:9" ht="15.75" customHeight="1" x14ac:dyDescent="0.25">
      <c r="A64" s="3" t="s">
        <v>139</v>
      </c>
      <c r="B64" s="4" t="s">
        <v>140</v>
      </c>
      <c r="C64" s="3" t="s">
        <v>241</v>
      </c>
      <c r="D64" s="3" t="s">
        <v>235</v>
      </c>
      <c r="E64" s="3" t="s">
        <v>242</v>
      </c>
      <c r="F64" s="3" t="s">
        <v>236</v>
      </c>
      <c r="G64" s="3" t="s">
        <v>235</v>
      </c>
      <c r="H64" s="3" t="s">
        <v>236</v>
      </c>
      <c r="I64" s="3">
        <f t="shared" si="1"/>
        <v>3.69</v>
      </c>
    </row>
    <row r="65" spans="1:9" ht="15.75" customHeight="1" x14ac:dyDescent="0.25">
      <c r="A65" s="3" t="s">
        <v>141</v>
      </c>
      <c r="B65" s="4" t="s">
        <v>142</v>
      </c>
      <c r="C65" s="3" t="s">
        <v>238</v>
      </c>
      <c r="D65" s="3" t="s">
        <v>238</v>
      </c>
      <c r="E65" s="3" t="s">
        <v>235</v>
      </c>
      <c r="F65" s="3" t="s">
        <v>243</v>
      </c>
      <c r="G65" s="3" t="s">
        <v>242</v>
      </c>
      <c r="H65" s="3" t="s">
        <v>237</v>
      </c>
      <c r="I65" s="3">
        <f t="shared" si="1"/>
        <v>2.98</v>
      </c>
    </row>
    <row r="66" spans="1:9" ht="15.75" customHeight="1" x14ac:dyDescent="0.25">
      <c r="A66" s="3" t="s">
        <v>143</v>
      </c>
      <c r="B66" s="4" t="s">
        <v>144</v>
      </c>
      <c r="C66" s="3" t="s">
        <v>236</v>
      </c>
      <c r="D66" s="3" t="s">
        <v>244</v>
      </c>
      <c r="E66" s="3" t="s">
        <v>236</v>
      </c>
      <c r="F66" s="3" t="s">
        <v>239</v>
      </c>
      <c r="G66" s="3" t="s">
        <v>241</v>
      </c>
      <c r="H66" s="3" t="s">
        <v>236</v>
      </c>
      <c r="I66" s="3">
        <f t="shared" si="1"/>
        <v>3.13</v>
      </c>
    </row>
    <row r="67" spans="1:9" ht="15.75" customHeight="1" x14ac:dyDescent="0.25">
      <c r="A67" s="3" t="s">
        <v>145</v>
      </c>
      <c r="B67" s="4" t="s">
        <v>146</v>
      </c>
      <c r="C67" s="3" t="s">
        <v>236</v>
      </c>
      <c r="D67" s="3" t="s">
        <v>244</v>
      </c>
      <c r="E67" s="3" t="s">
        <v>242</v>
      </c>
      <c r="F67" s="3" t="s">
        <v>238</v>
      </c>
      <c r="G67" s="3" t="s">
        <v>235</v>
      </c>
      <c r="H67" s="3" t="s">
        <v>236</v>
      </c>
      <c r="I67" s="3">
        <f t="shared" ref="I67:I98" si="2">IFERROR(
ROUND(
(
(IF(C67="A+", 4, IF(C67="A", 4, IF(C67="A-", 3.7, IF(C67="B+", 3.3, IF(C67="B", 3, IF(C67="B-", 2.7, IF(C67="C+", 2.3, IF(C67="C", 2, IF(C67="C-", 1.7, IF(C67="D+", 1.3, IF(C67="D", 1, IF(C67="E", 0, 0))))))))))))) * 3 +
(IF(D67="A+", 4, IF(D67="A", 4, IF(D67="A-", 3.7, IF(D67="B+", 3.3, IF(D67="B", 3, IF(D67="B-", 2.7, IF(D67="C+", 2.3, IF(D67="C", 2, IF(D67="C-", 1.7, IF(D67="D+", 1.3, IF(D67="D", 1, IF(D67="E", 0, 0))))))))))))) * 3 +
(IF(E67="A+", 4, IF(E67="A", 4, IF(E67="A-", 3.7, IF(E67="B+", 3.3, IF(E67="B", 3, IF(E67="B-", 2.7, IF(E67="C+", 2.3, IF(E67="C", 2, IF(E67="C-", 1.7, IF(E67="D+", 1.3, IF(E67="D", 1, IF(E67="E", 0, 0))))))))))))) * 3 +
(IF(F67="A+", 4, IF(F67="A", 4, IF(F67="A-", 3.7, IF(F67="B+", 3.3, IF(F67="B", 3, IF(F67="B-", 2.7, IF(F67="C+", 2.3, IF(F67="C", 2, IF(F67="C-", 1.7, IF(F67="D+", 1.3, IF(F67="D", 1, IF(F67="E", 0, 0))))))))))))) * 2 +
(IF(G67="A+", 4, IF(G67="A", 4, IF(G67="A-", 3.7, IF(G67="B+", 3.3, IF(G67="B", 3, IF(G67="B-", 2.7, IF(G67="C+", 2.3, IF(G67="C", 2, IF(G67="C-", 1.7, IF(G67="D+", 1.3, IF(G67="D", 1, IF(G67="E", 0, 0))))))))))))) * 2 +
(IF(H67="A+", 4, IF(H67="A", 4, IF(H67="A-", 3.7, IF(H67="B+", 3.3, IF(H67="B", 3, IF(H67="B-", 2.7, IF(H67="C+", 2.3, IF(H67="C", 2, IF(H67="C-", 1.7, IF(H67="D+", 1.3, IF(H67="D", 1, IF(H67="E", 0, 0))))))))))))) *
2) /
(3 + 3 + 3 + 2 + 2 + 2),
2),
0)</f>
        <v>3.23</v>
      </c>
    </row>
    <row r="68" spans="1:9" ht="15.75" customHeight="1" x14ac:dyDescent="0.25">
      <c r="A68" s="3" t="s">
        <v>147</v>
      </c>
      <c r="B68" s="4" t="s">
        <v>148</v>
      </c>
      <c r="C68" s="3" t="s">
        <v>236</v>
      </c>
      <c r="D68" s="3" t="s">
        <v>243</v>
      </c>
      <c r="E68" s="3" t="s">
        <v>236</v>
      </c>
      <c r="F68" s="3" t="s">
        <v>235</v>
      </c>
      <c r="G68" s="3" t="s">
        <v>241</v>
      </c>
      <c r="H68" s="3" t="s">
        <v>241</v>
      </c>
      <c r="I68" s="3">
        <f t="shared" si="2"/>
        <v>3.45</v>
      </c>
    </row>
    <row r="69" spans="1:9" ht="15.75" customHeight="1" x14ac:dyDescent="0.25">
      <c r="A69" s="3" t="s">
        <v>149</v>
      </c>
      <c r="B69" s="4" t="s">
        <v>150</v>
      </c>
      <c r="C69" s="3" t="s">
        <v>235</v>
      </c>
      <c r="D69" s="3" t="s">
        <v>238</v>
      </c>
      <c r="E69" s="3" t="s">
        <v>235</v>
      </c>
      <c r="F69" s="3" t="s">
        <v>235</v>
      </c>
      <c r="G69" s="3" t="s">
        <v>236</v>
      </c>
      <c r="H69" s="3" t="s">
        <v>236</v>
      </c>
      <c r="I69" s="3">
        <f t="shared" si="2"/>
        <v>3.29</v>
      </c>
    </row>
    <row r="70" spans="1:9" ht="15.75" customHeight="1" x14ac:dyDescent="0.25">
      <c r="A70" s="3" t="s">
        <v>151</v>
      </c>
      <c r="B70" s="4" t="s">
        <v>152</v>
      </c>
      <c r="C70" s="3" t="s">
        <v>238</v>
      </c>
      <c r="D70" s="3" t="s">
        <v>239</v>
      </c>
      <c r="E70" s="3" t="s">
        <v>244</v>
      </c>
      <c r="F70" s="3" t="s">
        <v>239</v>
      </c>
      <c r="G70" s="3" t="s">
        <v>235</v>
      </c>
      <c r="H70" s="3" t="s">
        <v>235</v>
      </c>
      <c r="I70" s="3">
        <f t="shared" si="2"/>
        <v>2.39</v>
      </c>
    </row>
    <row r="71" spans="1:9" ht="15.75" customHeight="1" x14ac:dyDescent="0.25">
      <c r="A71" s="3" t="s">
        <v>153</v>
      </c>
      <c r="B71" s="4" t="s">
        <v>154</v>
      </c>
      <c r="C71" s="3" t="s">
        <v>238</v>
      </c>
      <c r="D71" s="3" t="s">
        <v>243</v>
      </c>
      <c r="E71" s="3" t="s">
        <v>238</v>
      </c>
      <c r="F71" s="3" t="s">
        <v>239</v>
      </c>
      <c r="G71" s="3" t="s">
        <v>236</v>
      </c>
      <c r="H71" s="3" t="s">
        <v>236</v>
      </c>
      <c r="I71" s="3">
        <f t="shared" si="2"/>
        <v>2.75</v>
      </c>
    </row>
    <row r="72" spans="1:9" ht="15.75" customHeight="1" x14ac:dyDescent="0.25">
      <c r="A72" s="3" t="s">
        <v>155</v>
      </c>
      <c r="B72" s="4" t="s">
        <v>156</v>
      </c>
      <c r="C72" s="3" t="s">
        <v>241</v>
      </c>
      <c r="D72" s="3" t="s">
        <v>235</v>
      </c>
      <c r="E72" s="3" t="s">
        <v>242</v>
      </c>
      <c r="F72" s="3" t="s">
        <v>241</v>
      </c>
      <c r="G72" s="3" t="s">
        <v>242</v>
      </c>
      <c r="H72" s="3" t="s">
        <v>241</v>
      </c>
      <c r="I72" s="3">
        <f t="shared" si="2"/>
        <v>3.86</v>
      </c>
    </row>
    <row r="73" spans="1:9" ht="15.75" customHeight="1" x14ac:dyDescent="0.25">
      <c r="A73" s="3" t="s">
        <v>157</v>
      </c>
      <c r="B73" s="4" t="s">
        <v>158</v>
      </c>
      <c r="C73" s="3" t="s">
        <v>238</v>
      </c>
      <c r="D73" s="3" t="s">
        <v>244</v>
      </c>
      <c r="E73" s="3" t="s">
        <v>237</v>
      </c>
      <c r="F73" s="3" t="s">
        <v>238</v>
      </c>
      <c r="G73" s="3" t="s">
        <v>244</v>
      </c>
      <c r="H73" s="3" t="s">
        <v>236</v>
      </c>
      <c r="I73" s="3">
        <f t="shared" si="2"/>
        <v>2.66</v>
      </c>
    </row>
    <row r="74" spans="1:9" ht="15.75" customHeight="1" x14ac:dyDescent="0.25">
      <c r="A74" s="3" t="s">
        <v>159</v>
      </c>
      <c r="B74" s="4" t="s">
        <v>160</v>
      </c>
      <c r="C74" s="3" t="s">
        <v>237</v>
      </c>
      <c r="D74" s="3" t="s">
        <v>244</v>
      </c>
      <c r="E74" s="3" t="s">
        <v>236</v>
      </c>
      <c r="F74" s="3" t="s">
        <v>244</v>
      </c>
      <c r="G74" s="3" t="s">
        <v>236</v>
      </c>
      <c r="H74" s="3" t="s">
        <v>236</v>
      </c>
      <c r="I74" s="3">
        <f t="shared" si="2"/>
        <v>2.99</v>
      </c>
    </row>
    <row r="75" spans="1:9" ht="15.75" customHeight="1" x14ac:dyDescent="0.25">
      <c r="A75" s="3" t="s">
        <v>161</v>
      </c>
      <c r="B75" s="4" t="s">
        <v>162</v>
      </c>
      <c r="C75" s="3" t="s">
        <v>235</v>
      </c>
      <c r="D75" s="3" t="s">
        <v>238</v>
      </c>
      <c r="E75" s="3" t="s">
        <v>241</v>
      </c>
      <c r="F75" s="3" t="s">
        <v>241</v>
      </c>
      <c r="G75" s="3" t="s">
        <v>242</v>
      </c>
      <c r="H75" s="3" t="s">
        <v>236</v>
      </c>
      <c r="I75" s="3">
        <f t="shared" si="2"/>
        <v>3.56</v>
      </c>
    </row>
    <row r="76" spans="1:9" ht="15.75" customHeight="1" x14ac:dyDescent="0.25">
      <c r="A76" s="3" t="s">
        <v>163</v>
      </c>
      <c r="B76" s="4" t="s">
        <v>164</v>
      </c>
      <c r="C76" s="3" t="s">
        <v>235</v>
      </c>
      <c r="D76" s="3" t="s">
        <v>238</v>
      </c>
      <c r="E76" s="3" t="s">
        <v>242</v>
      </c>
      <c r="F76" s="3" t="s">
        <v>237</v>
      </c>
      <c r="G76" s="3" t="s">
        <v>236</v>
      </c>
      <c r="H76" s="3" t="s">
        <v>235</v>
      </c>
      <c r="I76" s="3">
        <f t="shared" si="2"/>
        <v>3.33</v>
      </c>
    </row>
    <row r="77" spans="1:9" ht="15.75" customHeight="1" x14ac:dyDescent="0.25">
      <c r="A77" s="3" t="s">
        <v>165</v>
      </c>
      <c r="B77" s="4" t="s">
        <v>166</v>
      </c>
      <c r="C77" s="3" t="s">
        <v>244</v>
      </c>
      <c r="D77" s="3" t="s">
        <v>243</v>
      </c>
      <c r="E77" s="3" t="s">
        <v>238</v>
      </c>
      <c r="F77" s="3" t="s">
        <v>239</v>
      </c>
      <c r="G77" s="3" t="s">
        <v>238</v>
      </c>
      <c r="H77" s="3" t="s">
        <v>236</v>
      </c>
      <c r="I77" s="3">
        <f t="shared" si="2"/>
        <v>2.48</v>
      </c>
    </row>
    <row r="78" spans="1:9" ht="15.75" customHeight="1" x14ac:dyDescent="0.25">
      <c r="A78" s="3" t="s">
        <v>167</v>
      </c>
      <c r="B78" s="4" t="s">
        <v>168</v>
      </c>
      <c r="C78" s="3" t="s">
        <v>236</v>
      </c>
      <c r="D78" s="3" t="s">
        <v>237</v>
      </c>
      <c r="E78" s="3" t="s">
        <v>242</v>
      </c>
      <c r="F78" s="3" t="s">
        <v>237</v>
      </c>
      <c r="G78" s="3" t="s">
        <v>242</v>
      </c>
      <c r="H78" s="3" t="s">
        <v>241</v>
      </c>
      <c r="I78" s="3">
        <f t="shared" si="2"/>
        <v>3.61</v>
      </c>
    </row>
    <row r="79" spans="1:9" ht="15.75" customHeight="1" x14ac:dyDescent="0.25">
      <c r="A79" s="3" t="s">
        <v>169</v>
      </c>
      <c r="B79" s="4" t="s">
        <v>170</v>
      </c>
      <c r="C79" s="3" t="s">
        <v>241</v>
      </c>
      <c r="D79" s="3" t="s">
        <v>237</v>
      </c>
      <c r="E79" s="3" t="s">
        <v>241</v>
      </c>
      <c r="F79" s="3" t="s">
        <v>235</v>
      </c>
      <c r="G79" s="3" t="s">
        <v>236</v>
      </c>
      <c r="H79" s="3" t="s">
        <v>241</v>
      </c>
      <c r="I79" s="3">
        <f t="shared" si="2"/>
        <v>3.67</v>
      </c>
    </row>
    <row r="80" spans="1:9" ht="15.75" customHeight="1" x14ac:dyDescent="0.25">
      <c r="A80" s="3" t="s">
        <v>171</v>
      </c>
      <c r="B80" s="4" t="s">
        <v>172</v>
      </c>
      <c r="C80" s="3" t="s">
        <v>236</v>
      </c>
      <c r="D80" s="3" t="s">
        <v>236</v>
      </c>
      <c r="E80" s="3" t="s">
        <v>241</v>
      </c>
      <c r="F80" s="3" t="s">
        <v>236</v>
      </c>
      <c r="G80" s="3" t="s">
        <v>236</v>
      </c>
      <c r="H80" s="3" t="s">
        <v>236</v>
      </c>
      <c r="I80" s="3">
        <f t="shared" si="2"/>
        <v>3.76</v>
      </c>
    </row>
    <row r="81" spans="1:9" ht="15.75" customHeight="1" x14ac:dyDescent="0.25">
      <c r="A81" s="3" t="s">
        <v>173</v>
      </c>
      <c r="B81" s="4" t="s">
        <v>174</v>
      </c>
      <c r="C81" s="3" t="s">
        <v>235</v>
      </c>
      <c r="D81" s="3" t="s">
        <v>236</v>
      </c>
      <c r="E81" s="3" t="s">
        <v>235</v>
      </c>
      <c r="F81" s="3" t="s">
        <v>238</v>
      </c>
      <c r="G81" s="3" t="s">
        <v>241</v>
      </c>
      <c r="H81" s="3" t="s">
        <v>236</v>
      </c>
      <c r="I81" s="3">
        <f t="shared" si="2"/>
        <v>3.45</v>
      </c>
    </row>
    <row r="82" spans="1:9" ht="15.75" customHeight="1" x14ac:dyDescent="0.25">
      <c r="A82" s="3" t="s">
        <v>175</v>
      </c>
      <c r="B82" s="4" t="s">
        <v>176</v>
      </c>
      <c r="C82" s="3" t="s">
        <v>240</v>
      </c>
      <c r="D82" s="3" t="s">
        <v>240</v>
      </c>
      <c r="E82" s="3" t="s">
        <v>240</v>
      </c>
      <c r="F82" s="3" t="s">
        <v>240</v>
      </c>
      <c r="G82" s="3" t="s">
        <v>240</v>
      </c>
      <c r="H82" s="3" t="s">
        <v>240</v>
      </c>
      <c r="I82" s="3">
        <f t="shared" si="2"/>
        <v>0</v>
      </c>
    </row>
    <row r="83" spans="1:9" ht="15.75" customHeight="1" x14ac:dyDescent="0.25">
      <c r="A83" s="3" t="s">
        <v>177</v>
      </c>
      <c r="B83" s="4" t="s">
        <v>178</v>
      </c>
      <c r="C83" s="3" t="s">
        <v>236</v>
      </c>
      <c r="D83" s="3" t="s">
        <v>235</v>
      </c>
      <c r="E83" s="3" t="s">
        <v>236</v>
      </c>
      <c r="F83" s="3" t="s">
        <v>235</v>
      </c>
      <c r="G83" s="3" t="s">
        <v>242</v>
      </c>
      <c r="H83" s="3" t="s">
        <v>235</v>
      </c>
      <c r="I83" s="3">
        <f t="shared" si="2"/>
        <v>3.55</v>
      </c>
    </row>
    <row r="84" spans="1:9" ht="15.75" customHeight="1" x14ac:dyDescent="0.25">
      <c r="A84" s="3" t="s">
        <v>179</v>
      </c>
      <c r="B84" s="4" t="s">
        <v>180</v>
      </c>
      <c r="C84" s="3" t="s">
        <v>236</v>
      </c>
      <c r="D84" s="3" t="s">
        <v>238</v>
      </c>
      <c r="E84" s="3" t="s">
        <v>242</v>
      </c>
      <c r="F84" s="3" t="s">
        <v>237</v>
      </c>
      <c r="G84" s="3" t="s">
        <v>236</v>
      </c>
      <c r="H84" s="3" t="s">
        <v>236</v>
      </c>
      <c r="I84" s="3">
        <f t="shared" si="2"/>
        <v>3.47</v>
      </c>
    </row>
    <row r="85" spans="1:9" ht="15.75" customHeight="1" x14ac:dyDescent="0.25">
      <c r="A85" s="3" t="s">
        <v>181</v>
      </c>
      <c r="B85" s="4" t="s">
        <v>182</v>
      </c>
      <c r="C85" s="3" t="s">
        <v>235</v>
      </c>
      <c r="D85" s="3" t="s">
        <v>236</v>
      </c>
      <c r="E85" s="3" t="s">
        <v>236</v>
      </c>
      <c r="F85" s="3" t="s">
        <v>235</v>
      </c>
      <c r="G85" s="3" t="s">
        <v>241</v>
      </c>
      <c r="H85" s="3" t="s">
        <v>236</v>
      </c>
      <c r="I85" s="3">
        <f t="shared" si="2"/>
        <v>3.61</v>
      </c>
    </row>
    <row r="86" spans="1:9" ht="15.75" customHeight="1" x14ac:dyDescent="0.25">
      <c r="A86" s="3" t="s">
        <v>183</v>
      </c>
      <c r="B86" s="4" t="s">
        <v>184</v>
      </c>
      <c r="C86" s="3" t="s">
        <v>241</v>
      </c>
      <c r="D86" s="3" t="s">
        <v>241</v>
      </c>
      <c r="E86" s="3" t="s">
        <v>242</v>
      </c>
      <c r="F86" s="3" t="s">
        <v>235</v>
      </c>
      <c r="G86" s="3" t="s">
        <v>242</v>
      </c>
      <c r="H86" s="3" t="s">
        <v>236</v>
      </c>
      <c r="I86" s="3">
        <f t="shared" si="2"/>
        <v>3.87</v>
      </c>
    </row>
    <row r="87" spans="1:9" ht="15.75" customHeight="1" x14ac:dyDescent="0.25">
      <c r="A87" s="3" t="s">
        <v>185</v>
      </c>
      <c r="B87" s="4" t="s">
        <v>186</v>
      </c>
      <c r="C87" s="3" t="s">
        <v>237</v>
      </c>
      <c r="D87" s="3" t="s">
        <v>243</v>
      </c>
      <c r="E87" s="3" t="s">
        <v>237</v>
      </c>
      <c r="F87" s="3" t="s">
        <v>243</v>
      </c>
      <c r="G87" s="3" t="s">
        <v>236</v>
      </c>
      <c r="H87" s="3" t="s">
        <v>235</v>
      </c>
      <c r="I87" s="3">
        <f t="shared" si="2"/>
        <v>2.9</v>
      </c>
    </row>
    <row r="88" spans="1:9" ht="15.75" customHeight="1" x14ac:dyDescent="0.25">
      <c r="A88" s="3" t="s">
        <v>187</v>
      </c>
      <c r="B88" s="4" t="s">
        <v>188</v>
      </c>
      <c r="C88" s="3" t="s">
        <v>238</v>
      </c>
      <c r="D88" s="3" t="s">
        <v>244</v>
      </c>
      <c r="E88" s="3" t="s">
        <v>238</v>
      </c>
      <c r="F88" s="3" t="s">
        <v>239</v>
      </c>
      <c r="G88" s="3" t="s">
        <v>238</v>
      </c>
      <c r="H88" s="3" t="s">
        <v>235</v>
      </c>
      <c r="I88" s="3">
        <f t="shared" si="2"/>
        <v>2.5099999999999998</v>
      </c>
    </row>
    <row r="89" spans="1:9" ht="15.75" customHeight="1" x14ac:dyDescent="0.25">
      <c r="A89" s="3" t="s">
        <v>189</v>
      </c>
      <c r="B89" s="4" t="s">
        <v>190</v>
      </c>
      <c r="C89" s="3" t="s">
        <v>238</v>
      </c>
      <c r="D89" s="3" t="s">
        <v>238</v>
      </c>
      <c r="E89" s="3" t="s">
        <v>237</v>
      </c>
      <c r="F89" s="3" t="s">
        <v>243</v>
      </c>
      <c r="G89" s="3" t="s">
        <v>237</v>
      </c>
      <c r="H89" s="3" t="s">
        <v>241</v>
      </c>
      <c r="I89" s="3">
        <f t="shared" si="2"/>
        <v>2.92</v>
      </c>
    </row>
    <row r="90" spans="1:9" ht="15.75" customHeight="1" x14ac:dyDescent="0.25">
      <c r="A90" s="3" t="s">
        <v>191</v>
      </c>
      <c r="B90" s="4" t="s">
        <v>192</v>
      </c>
      <c r="C90" s="3" t="s">
        <v>240</v>
      </c>
      <c r="D90" s="3" t="s">
        <v>240</v>
      </c>
      <c r="E90" s="3" t="s">
        <v>240</v>
      </c>
      <c r="F90" s="3" t="s">
        <v>240</v>
      </c>
      <c r="G90" s="3" t="s">
        <v>240</v>
      </c>
      <c r="H90" s="3" t="s">
        <v>240</v>
      </c>
      <c r="I90" s="3">
        <f t="shared" si="2"/>
        <v>0</v>
      </c>
    </row>
    <row r="91" spans="1:9" ht="15.75" customHeight="1" x14ac:dyDescent="0.25">
      <c r="A91" s="3" t="s">
        <v>193</v>
      </c>
      <c r="B91" s="4" t="s">
        <v>194</v>
      </c>
      <c r="C91" s="3" t="s">
        <v>236</v>
      </c>
      <c r="D91" s="3" t="s">
        <v>237</v>
      </c>
      <c r="E91" s="3" t="s">
        <v>242</v>
      </c>
      <c r="F91" s="3" t="s">
        <v>237</v>
      </c>
      <c r="G91" s="3" t="s">
        <v>241</v>
      </c>
      <c r="H91" s="3" t="s">
        <v>235</v>
      </c>
      <c r="I91" s="3">
        <f t="shared" si="2"/>
        <v>3.51</v>
      </c>
    </row>
    <row r="92" spans="1:9" ht="15.75" customHeight="1" x14ac:dyDescent="0.25">
      <c r="A92" s="3" t="s">
        <v>195</v>
      </c>
      <c r="B92" s="4" t="s">
        <v>196</v>
      </c>
      <c r="C92" s="3" t="s">
        <v>235</v>
      </c>
      <c r="D92" s="3" t="s">
        <v>237</v>
      </c>
      <c r="E92" s="3" t="s">
        <v>237</v>
      </c>
      <c r="F92" s="3" t="s">
        <v>237</v>
      </c>
      <c r="G92" s="3" t="s">
        <v>237</v>
      </c>
      <c r="H92" s="3" t="s">
        <v>235</v>
      </c>
      <c r="I92" s="3">
        <f t="shared" si="2"/>
        <v>3.1</v>
      </c>
    </row>
    <row r="93" spans="1:9" ht="15.75" customHeight="1" x14ac:dyDescent="0.25">
      <c r="A93" s="3" t="s">
        <v>197</v>
      </c>
      <c r="B93" s="4" t="s">
        <v>198</v>
      </c>
      <c r="C93" s="3" t="s">
        <v>241</v>
      </c>
      <c r="D93" s="3" t="s">
        <v>236</v>
      </c>
      <c r="E93" s="3" t="s">
        <v>236</v>
      </c>
      <c r="F93" s="3" t="s">
        <v>235</v>
      </c>
      <c r="G93" s="3" t="s">
        <v>236</v>
      </c>
      <c r="H93" s="3" t="s">
        <v>235</v>
      </c>
      <c r="I93" s="3">
        <f t="shared" si="2"/>
        <v>3.65</v>
      </c>
    </row>
    <row r="94" spans="1:9" ht="15.75" customHeight="1" x14ac:dyDescent="0.25">
      <c r="A94" s="3" t="s">
        <v>199</v>
      </c>
      <c r="B94" s="4" t="s">
        <v>200</v>
      </c>
      <c r="C94" s="3" t="s">
        <v>237</v>
      </c>
      <c r="D94" s="3" t="s">
        <v>238</v>
      </c>
      <c r="E94" s="3" t="s">
        <v>236</v>
      </c>
      <c r="F94" s="3" t="s">
        <v>238</v>
      </c>
      <c r="G94" s="3" t="s">
        <v>241</v>
      </c>
      <c r="H94" s="3" t="s">
        <v>241</v>
      </c>
      <c r="I94" s="3">
        <f t="shared" si="2"/>
        <v>3.31</v>
      </c>
    </row>
    <row r="95" spans="1:9" ht="15.75" customHeight="1" x14ac:dyDescent="0.25">
      <c r="A95" s="3" t="s">
        <v>201</v>
      </c>
      <c r="B95" s="4" t="s">
        <v>202</v>
      </c>
      <c r="C95" s="3" t="s">
        <v>235</v>
      </c>
      <c r="D95" s="3" t="s">
        <v>235</v>
      </c>
      <c r="E95" s="3" t="s">
        <v>241</v>
      </c>
      <c r="F95" s="3" t="s">
        <v>238</v>
      </c>
      <c r="G95" s="3" t="s">
        <v>237</v>
      </c>
      <c r="H95" s="3" t="s">
        <v>235</v>
      </c>
      <c r="I95" s="3">
        <f t="shared" si="2"/>
        <v>3.32</v>
      </c>
    </row>
    <row r="96" spans="1:9" ht="15.75" customHeight="1" x14ac:dyDescent="0.25">
      <c r="A96" s="3" t="s">
        <v>203</v>
      </c>
      <c r="B96" s="4" t="s">
        <v>204</v>
      </c>
      <c r="C96" s="3" t="s">
        <v>236</v>
      </c>
      <c r="D96" s="3" t="s">
        <v>236</v>
      </c>
      <c r="E96" s="3" t="s">
        <v>235</v>
      </c>
      <c r="F96" s="3" t="s">
        <v>235</v>
      </c>
      <c r="G96" s="3" t="s">
        <v>241</v>
      </c>
      <c r="H96" s="3" t="s">
        <v>236</v>
      </c>
      <c r="I96" s="3">
        <f t="shared" si="2"/>
        <v>3.61</v>
      </c>
    </row>
    <row r="97" spans="1:9" ht="15.75" customHeight="1" x14ac:dyDescent="0.25">
      <c r="A97" s="3" t="s">
        <v>205</v>
      </c>
      <c r="B97" s="4" t="s">
        <v>206</v>
      </c>
      <c r="C97" s="3" t="s">
        <v>236</v>
      </c>
      <c r="D97" s="3" t="s">
        <v>238</v>
      </c>
      <c r="E97" s="3" t="s">
        <v>242</v>
      </c>
      <c r="F97" s="3" t="s">
        <v>237</v>
      </c>
      <c r="G97" s="3" t="s">
        <v>236</v>
      </c>
      <c r="H97" s="3" t="s">
        <v>235</v>
      </c>
      <c r="I97" s="3">
        <f t="shared" si="2"/>
        <v>3.41</v>
      </c>
    </row>
    <row r="98" spans="1:9" ht="15.75" customHeight="1" x14ac:dyDescent="0.25">
      <c r="A98" s="3" t="s">
        <v>207</v>
      </c>
      <c r="B98" s="4" t="s">
        <v>208</v>
      </c>
      <c r="C98" s="3" t="s">
        <v>241</v>
      </c>
      <c r="D98" s="3" t="s">
        <v>237</v>
      </c>
      <c r="E98" s="3" t="s">
        <v>242</v>
      </c>
      <c r="F98" s="3" t="s">
        <v>237</v>
      </c>
      <c r="G98" s="3" t="s">
        <v>236</v>
      </c>
      <c r="H98" s="3" t="s">
        <v>236</v>
      </c>
      <c r="I98" s="3">
        <f t="shared" si="2"/>
        <v>3.59</v>
      </c>
    </row>
    <row r="99" spans="1:9" ht="15.75" customHeight="1" x14ac:dyDescent="0.25">
      <c r="A99" s="3" t="s">
        <v>209</v>
      </c>
      <c r="B99" s="4" t="s">
        <v>210</v>
      </c>
      <c r="C99" s="3" t="s">
        <v>235</v>
      </c>
      <c r="D99" s="3" t="s">
        <v>238</v>
      </c>
      <c r="E99" s="3" t="s">
        <v>236</v>
      </c>
      <c r="F99" s="3" t="s">
        <v>237</v>
      </c>
      <c r="G99" s="3" t="s">
        <v>235</v>
      </c>
      <c r="H99" s="3" t="s">
        <v>236</v>
      </c>
      <c r="I99" s="3">
        <f t="shared" ref="I99:I108" si="3">IFERROR(
ROUND(
(
(IF(C99="A+", 4, IF(C99="A", 4, IF(C99="A-", 3.7, IF(C99="B+", 3.3, IF(C99="B", 3, IF(C99="B-", 2.7, IF(C99="C+", 2.3, IF(C99="C", 2, IF(C99="C-", 1.7, IF(C99="D+", 1.3, IF(C99="D", 1, IF(C99="E", 0, 0))))))))))))) * 3 +
(IF(D99="A+", 4, IF(D99="A", 4, IF(D99="A-", 3.7, IF(D99="B+", 3.3, IF(D99="B", 3, IF(D99="B-", 2.7, IF(D99="C+", 2.3, IF(D99="C", 2, IF(D99="C-", 1.7, IF(D99="D+", 1.3, IF(D99="D", 1, IF(D99="E", 0, 0))))))))))))) * 3 +
(IF(E99="A+", 4, IF(E99="A", 4, IF(E99="A-", 3.7, IF(E99="B+", 3.3, IF(E99="B", 3, IF(E99="B-", 2.7, IF(E99="C+", 2.3, IF(E99="C", 2, IF(E99="C-", 1.7, IF(E99="D+", 1.3, IF(E99="D", 1, IF(E99="E", 0, 0))))))))))))) * 3 +
(IF(F99="A+", 4, IF(F99="A", 4, IF(F99="A-", 3.7, IF(F99="B+", 3.3, IF(F99="B", 3, IF(F99="B-", 2.7, IF(F99="C+", 2.3, IF(F99="C", 2, IF(F99="C-", 1.7, IF(F99="D+", 1.3, IF(F99="D", 1, IF(F99="E", 0, 0))))))))))))) * 2 +
(IF(G99="A+", 4, IF(G99="A", 4, IF(G99="A-", 3.7, IF(G99="B+", 3.3, IF(G99="B", 3, IF(G99="B-", 2.7, IF(G99="C+", 2.3, IF(G99="C", 2, IF(G99="C-", 1.7, IF(G99="D+", 1.3, IF(G99="D", 1, IF(G99="E", 0, 0))))))))))))) * 2 +
(IF(H99="A+", 4, IF(H99="A", 4, IF(H99="A-", 3.7, IF(H99="B+", 3.3, IF(H99="B", 3, IF(H99="B-", 2.7, IF(H99="C+", 2.3, IF(H99="C", 2, IF(H99="C-", 1.7, IF(H99="D+", 1.3, IF(H99="D", 1, IF(H99="E", 0, 0))))))))))))) *
2) /
(3 + 3 + 3 + 2 + 2 + 2),
2),
0)</f>
        <v>3.27</v>
      </c>
    </row>
    <row r="100" spans="1:9" ht="15.75" customHeight="1" x14ac:dyDescent="0.25">
      <c r="A100" s="3" t="s">
        <v>211</v>
      </c>
      <c r="B100" s="4" t="s">
        <v>212</v>
      </c>
      <c r="C100" s="3" t="s">
        <v>235</v>
      </c>
      <c r="D100" s="3" t="s">
        <v>237</v>
      </c>
      <c r="E100" s="3" t="s">
        <v>241</v>
      </c>
      <c r="F100" s="3" t="s">
        <v>238</v>
      </c>
      <c r="G100" s="3" t="s">
        <v>235</v>
      </c>
      <c r="H100" s="3" t="s">
        <v>235</v>
      </c>
      <c r="I100" s="3">
        <f t="shared" si="3"/>
        <v>3.3</v>
      </c>
    </row>
    <row r="101" spans="1:9" ht="15.75" customHeight="1" x14ac:dyDescent="0.25">
      <c r="A101" s="3" t="s">
        <v>213</v>
      </c>
      <c r="B101" s="4" t="s">
        <v>214</v>
      </c>
      <c r="C101" s="3" t="s">
        <v>235</v>
      </c>
      <c r="D101" s="3" t="s">
        <v>236</v>
      </c>
      <c r="E101" s="3" t="s">
        <v>235</v>
      </c>
      <c r="F101" s="3" t="s">
        <v>238</v>
      </c>
      <c r="G101" s="3" t="s">
        <v>241</v>
      </c>
      <c r="H101" s="3" t="s">
        <v>236</v>
      </c>
      <c r="I101" s="3">
        <f t="shared" si="3"/>
        <v>3.45</v>
      </c>
    </row>
    <row r="102" spans="1:9" ht="15.75" customHeight="1" x14ac:dyDescent="0.25">
      <c r="A102" s="3" t="s">
        <v>215</v>
      </c>
      <c r="B102" s="4" t="s">
        <v>216</v>
      </c>
      <c r="C102" s="3" t="s">
        <v>235</v>
      </c>
      <c r="D102" s="3" t="s">
        <v>238</v>
      </c>
      <c r="E102" s="3" t="s">
        <v>236</v>
      </c>
      <c r="F102" s="3" t="s">
        <v>238</v>
      </c>
      <c r="G102" s="3" t="s">
        <v>236</v>
      </c>
      <c r="H102" s="3" t="s">
        <v>236</v>
      </c>
      <c r="I102" s="3">
        <f t="shared" si="3"/>
        <v>3.29</v>
      </c>
    </row>
    <row r="103" spans="1:9" ht="15.75" customHeight="1" x14ac:dyDescent="0.25">
      <c r="A103" s="3" t="s">
        <v>217</v>
      </c>
      <c r="B103" s="4" t="s">
        <v>218</v>
      </c>
      <c r="C103" s="3" t="s">
        <v>235</v>
      </c>
      <c r="D103" s="3" t="s">
        <v>237</v>
      </c>
      <c r="E103" s="3" t="s">
        <v>242</v>
      </c>
      <c r="F103" s="3" t="s">
        <v>238</v>
      </c>
      <c r="G103" s="3" t="s">
        <v>236</v>
      </c>
      <c r="H103" s="3" t="s">
        <v>236</v>
      </c>
      <c r="I103" s="3">
        <f t="shared" si="3"/>
        <v>3.41</v>
      </c>
    </row>
    <row r="104" spans="1:9" ht="15.75" customHeight="1" x14ac:dyDescent="0.25">
      <c r="A104" s="3" t="s">
        <v>219</v>
      </c>
      <c r="B104" s="4" t="s">
        <v>220</v>
      </c>
      <c r="C104" s="3" t="s">
        <v>235</v>
      </c>
      <c r="D104" s="3" t="s">
        <v>244</v>
      </c>
      <c r="E104" s="3" t="s">
        <v>241</v>
      </c>
      <c r="F104" s="3" t="s">
        <v>235</v>
      </c>
      <c r="G104" s="3" t="s">
        <v>236</v>
      </c>
      <c r="H104" s="3" t="s">
        <v>236</v>
      </c>
      <c r="I104" s="3">
        <f t="shared" si="3"/>
        <v>3.29</v>
      </c>
    </row>
    <row r="105" spans="1:9" ht="15.75" customHeight="1" x14ac:dyDescent="0.25">
      <c r="A105" s="3" t="s">
        <v>221</v>
      </c>
      <c r="B105" s="4" t="s">
        <v>222</v>
      </c>
      <c r="C105" s="3" t="s">
        <v>242</v>
      </c>
      <c r="D105" s="3" t="s">
        <v>236</v>
      </c>
      <c r="E105" s="3" t="s">
        <v>242</v>
      </c>
      <c r="F105" s="3" t="s">
        <v>241</v>
      </c>
      <c r="G105" s="3" t="s">
        <v>235</v>
      </c>
      <c r="H105" s="3" t="s">
        <v>235</v>
      </c>
      <c r="I105" s="3">
        <f t="shared" si="3"/>
        <v>3.75</v>
      </c>
    </row>
    <row r="106" spans="1:9" ht="15.75" customHeight="1" x14ac:dyDescent="0.25">
      <c r="A106" s="3" t="s">
        <v>223</v>
      </c>
      <c r="B106" s="4" t="s">
        <v>224</v>
      </c>
      <c r="C106" s="3" t="s">
        <v>237</v>
      </c>
      <c r="D106" s="3" t="s">
        <v>243</v>
      </c>
      <c r="E106" s="3" t="s">
        <v>235</v>
      </c>
      <c r="F106" s="3" t="s">
        <v>244</v>
      </c>
      <c r="G106" s="3" t="s">
        <v>235</v>
      </c>
      <c r="H106" s="3" t="s">
        <v>241</v>
      </c>
      <c r="I106" s="3">
        <f t="shared" si="3"/>
        <v>2.96</v>
      </c>
    </row>
    <row r="107" spans="1:9" ht="15.75" customHeight="1" x14ac:dyDescent="0.25">
      <c r="A107" s="3" t="s">
        <v>225</v>
      </c>
      <c r="B107" s="4" t="s">
        <v>226</v>
      </c>
      <c r="C107" s="3" t="s">
        <v>238</v>
      </c>
      <c r="D107" s="3" t="s">
        <v>237</v>
      </c>
      <c r="E107" s="3" t="s">
        <v>236</v>
      </c>
      <c r="F107" s="3" t="s">
        <v>243</v>
      </c>
      <c r="G107" s="3" t="s">
        <v>236</v>
      </c>
      <c r="H107" s="3" t="s">
        <v>241</v>
      </c>
      <c r="I107" s="3">
        <f t="shared" si="3"/>
        <v>3.21</v>
      </c>
    </row>
    <row r="108" spans="1:9" ht="15.75" customHeight="1" x14ac:dyDescent="0.25">
      <c r="A108" s="3" t="s">
        <v>227</v>
      </c>
      <c r="B108" s="4" t="s">
        <v>228</v>
      </c>
      <c r="C108" s="3" t="s">
        <v>238</v>
      </c>
      <c r="D108" s="3" t="s">
        <v>238</v>
      </c>
      <c r="E108" s="3" t="s">
        <v>235</v>
      </c>
      <c r="F108" s="3" t="s">
        <v>243</v>
      </c>
      <c r="G108" s="3" t="s">
        <v>236</v>
      </c>
      <c r="H108" s="3" t="s">
        <v>241</v>
      </c>
      <c r="I108" s="3">
        <f t="shared" si="3"/>
        <v>3.07</v>
      </c>
    </row>
    <row r="109" spans="1:9" ht="15.75" customHeight="1" x14ac:dyDescent="0.25"/>
    <row r="110" spans="1:9" ht="15.75" customHeight="1" x14ac:dyDescent="0.25"/>
    <row r="111" spans="1:9" ht="15.75" customHeight="1" x14ac:dyDescent="0.25"/>
    <row r="112" spans="1:9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108"/>
  <sheetViews>
    <sheetView workbookViewId="0">
      <pane ySplit="1" topLeftCell="A89" activePane="bottomLeft" state="frozen"/>
      <selection pane="bottomLeft" activeCell="I8" sqref="I8"/>
    </sheetView>
  </sheetViews>
  <sheetFormatPr defaultColWidth="14.42578125" defaultRowHeight="15" customHeight="1" x14ac:dyDescent="0.25"/>
  <cols>
    <col min="2" max="2" width="29" customWidth="1"/>
  </cols>
  <sheetData>
    <row r="1" spans="1:9" x14ac:dyDescent="0.25">
      <c r="A1" s="1" t="s">
        <v>0</v>
      </c>
      <c r="B1" s="2" t="s">
        <v>1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234</v>
      </c>
    </row>
    <row r="2" spans="1:9" x14ac:dyDescent="0.25">
      <c r="A2" s="3" t="s">
        <v>15</v>
      </c>
      <c r="B2" s="4" t="s">
        <v>16</v>
      </c>
      <c r="C2" s="3" t="s">
        <v>242</v>
      </c>
      <c r="D2" s="3" t="s">
        <v>243</v>
      </c>
      <c r="E2" s="3" t="s">
        <v>238</v>
      </c>
      <c r="F2" s="3" t="s">
        <v>238</v>
      </c>
      <c r="G2" s="3" t="s">
        <v>236</v>
      </c>
      <c r="H2" s="3" t="s">
        <v>236</v>
      </c>
      <c r="I2" s="3">
        <f>IFERROR(
    ROUND(
        (
            (IF(C2="A+", 4, IF(C2="A", 4, IF(C2="A-", 3.7, IF(C2="B+", 3.3, IF(C2="B", 3, IF(C2="B-", 2.7, IF(C2="C+", 2.3, IF(C2="C", 2, IF(C2="C-", 1.7, IF(C2="D+", 1.3, IF(C2="D", 1, IF(C2="E", 0, 0))))))))))))) * 3 +
            (IF(D2="A+", 4, IF(D2="A", 4, IF(D2="A-", 3.7, IF(D2="B+", 3.3, IF(D2="B", 3, IF(D2="B-", 2.7, IF(D2="C+", 2.3, IF(D2="C", 2, IF(D2="C-", 1.7, IF(D2="D+", 1.3, IF(D2="D", 1, IF(D2="E", 0, 0))))))))))))) * 3 +
            (IF(E2="A+", 4, IF(E2="A", 4, IF(E2="A-", 3.7, IF(E2="B+", 3.3, IF(E2="B", 3, IF(E2="B-", 2.7, IF(E2="C+", 2.3, IF(E2="C", 2, IF(E2="C-", 1.7, IF(E2="D+", 1.3, IF(E2="D", 1, IF(E2="E", 0, 0))))))))))))) * 3 +
            (IF(F2="A+", 4, IF(F2="A", 4, IF(F2="A-", 3.7, IF(F2="B+", 3.3, IF(F2="B", 3, IF(F2="B-", 2.7, IF(F2="C+", 2.3, IF(F2="C", 2, IF(F2="C-", 1.7, IF(F2="D+", 1.3, IF(F2="D", 1, IF(F2="E", 0, 0))))))))))))) * 2 +
            (IF(G2="A+", 4, IF(G2="A", 4, IF(G2="A-", 3.7, IF(G2="B+", 3.3, IF(G2="B", 3, IF(G2="B-", 2.7, IF(G2="C+", 2.3, IF(G2="C", 2, IF(G2="C-", 1.7, IF(G2="D+", 1.3, IF(G2="D", 1, IF(G2="E", 0, 0))))))))))))) * 2 +
            (IF(H2="A+", 4, IF(H2="A", 4, IF(H2="A-", 3.7, IF(H2="B+", 3.3, IF(H2="B", 3, IF(H2="B-", 2.7, IF(H2="C+", 2.3, IF(H2="C", 2, IF(H2="C-", 1.7, IF(H2="D+", 1.3, IF(H2="D", 1, IF(H2="E", 0, 0))))))))))))) * 2
        ) /
        (3 + 3 + 3 + 2 + 2 + 2),
    2),
0)</f>
        <v>3.15</v>
      </c>
    </row>
    <row r="3" spans="1:9" x14ac:dyDescent="0.25">
      <c r="A3" s="3" t="s">
        <v>17</v>
      </c>
      <c r="B3" s="4" t="s">
        <v>18</v>
      </c>
      <c r="C3" s="3" t="s">
        <v>237</v>
      </c>
      <c r="D3" s="3" t="s">
        <v>253</v>
      </c>
      <c r="E3" s="3" t="s">
        <v>239</v>
      </c>
      <c r="F3" s="3" t="s">
        <v>243</v>
      </c>
      <c r="G3" s="3" t="s">
        <v>244</v>
      </c>
      <c r="H3" s="3" t="s">
        <v>252</v>
      </c>
      <c r="I3" s="3">
        <f t="shared" ref="I3:I34" si="0">IFERROR(
ROUND(
(
(IF(C3="A+", 4, IF(C3="A", 4, IF(C3="A-", 3.7, IF(C3="B+", 3.3, IF(C3="B", 3, IF(C3="B-", 2.7, IF(C3="C+", 2.3, IF(C3="C", 2, IF(C3="C-", 1.7, IF(C3="D+", 1.3, IF(C3="D", 1, IF(C3="E", 0, 0))))))))))))) * 3 +
(IF(D3="A+", 4, IF(D3="A", 4, IF(D3="A-", 3.7, IF(D3="B+", 3.3, IF(D3="B", 3, IF(D3="B-", 2.7, IF(D3="C+", 2.3, IF(D3="C", 2, IF(D3="C-", 1.7, IF(D3="D+", 1.3, IF(D3="D", 1, IF(D3="E", 0, 0))))))))))))) * 3 +
(IF(E3="A+", 4, IF(E3="A", 4, IF(E3="A-", 3.7, IF(E3="B+", 3.3, IF(E3="B", 3, IF(E3="B-", 2.7, IF(E3="C+", 2.3, IF(E3="C", 2, IF(E3="C-", 1.7, IF(E3="D+", 1.3, IF(E3="D", 1, IF(E3="E", 0, 0))))))))))))) * 3 +
(IF(F3="A+", 4, IF(F3="A", 4, IF(F3="A-", 3.7, IF(F3="B+", 3.3, IF(F3="B", 3, IF(F3="B-", 2.7, IF(F3="C+", 2.3, IF(F3="C", 2, IF(F3="C-", 1.7, IF(F3="D+", 1.3, IF(F3="D", 1, IF(F3="E", 0, 0))))))))))))) * 2 +
(IF(G3="A+", 4, IF(G3="A", 4, IF(G3="A-", 3.7, IF(G3="B+", 3.3, IF(G3="B", 3, IF(G3="B-", 2.7, IF(G3="C+", 2.3, IF(G3="C", 2, IF(G3="C-", 1.7, IF(G3="D+", 1.3, IF(G3="D", 1, IF(G3="E", 0, 0))))))))))))) * 2 +
(IF(H3="A+", 4, IF(H3="A", 4, IF(H3="A-", 3.7, IF(H3="B+", 3.3, IF(H3="B", 3, IF(H3="B-", 2.7, IF(H3="C+", 2.3, IF(H3="C", 2, IF(H3="C-", 1.7, IF(H3="D+", 1.3, IF(H3="D", 1, IF(H3="E", 0, 0))))))))))))) *
2) /
(3 + 3 + 3 + 2 + 2 + 2),
2),
0)</f>
        <v>1.65</v>
      </c>
    </row>
    <row r="4" spans="1:9" x14ac:dyDescent="0.25">
      <c r="A4" s="3" t="s">
        <v>19</v>
      </c>
      <c r="B4" s="4" t="s">
        <v>20</v>
      </c>
      <c r="C4" s="3" t="s">
        <v>241</v>
      </c>
      <c r="D4" s="3" t="s">
        <v>238</v>
      </c>
      <c r="E4" s="3" t="s">
        <v>237</v>
      </c>
      <c r="F4" s="3" t="s">
        <v>238</v>
      </c>
      <c r="G4" s="3" t="s">
        <v>237</v>
      </c>
      <c r="H4" s="3" t="s">
        <v>242</v>
      </c>
      <c r="I4" s="3">
        <f t="shared" si="0"/>
        <v>3.23</v>
      </c>
    </row>
    <row r="5" spans="1:9" x14ac:dyDescent="0.25">
      <c r="A5" s="3" t="s">
        <v>21</v>
      </c>
      <c r="B5" s="4" t="s">
        <v>22</v>
      </c>
      <c r="C5" s="3" t="s">
        <v>242</v>
      </c>
      <c r="D5" s="3" t="s">
        <v>235</v>
      </c>
      <c r="E5" s="3" t="s">
        <v>236</v>
      </c>
      <c r="F5" s="3" t="s">
        <v>236</v>
      </c>
      <c r="G5" s="3" t="s">
        <v>241</v>
      </c>
      <c r="H5" s="3" t="s">
        <v>241</v>
      </c>
      <c r="I5" s="3">
        <f t="shared" si="0"/>
        <v>3.76</v>
      </c>
    </row>
    <row r="6" spans="1:9" x14ac:dyDescent="0.25">
      <c r="A6" s="3" t="s">
        <v>23</v>
      </c>
      <c r="B6" s="4" t="s">
        <v>24</v>
      </c>
      <c r="C6" s="3" t="s">
        <v>242</v>
      </c>
      <c r="D6" s="3" t="s">
        <v>236</v>
      </c>
      <c r="E6" s="3" t="s">
        <v>236</v>
      </c>
      <c r="F6" s="3" t="s">
        <v>236</v>
      </c>
      <c r="G6" s="3" t="s">
        <v>241</v>
      </c>
      <c r="H6" s="3" t="s">
        <v>242</v>
      </c>
      <c r="I6" s="3">
        <f t="shared" si="0"/>
        <v>3.84</v>
      </c>
    </row>
    <row r="7" spans="1:9" x14ac:dyDescent="0.25">
      <c r="A7" s="3" t="s">
        <v>25</v>
      </c>
      <c r="B7" s="4" t="s">
        <v>26</v>
      </c>
      <c r="C7" s="3" t="s">
        <v>242</v>
      </c>
      <c r="D7" s="3" t="s">
        <v>237</v>
      </c>
      <c r="E7" s="3" t="s">
        <v>241</v>
      </c>
      <c r="F7" s="3" t="s">
        <v>241</v>
      </c>
      <c r="G7" s="3" t="s">
        <v>242</v>
      </c>
      <c r="H7" s="3" t="s">
        <v>242</v>
      </c>
      <c r="I7" s="3">
        <f t="shared" si="0"/>
        <v>3.8</v>
      </c>
    </row>
    <row r="8" spans="1:9" x14ac:dyDescent="0.25">
      <c r="A8" s="3" t="s">
        <v>27</v>
      </c>
      <c r="B8" s="4" t="s">
        <v>28</v>
      </c>
      <c r="C8" s="3" t="s">
        <v>236</v>
      </c>
      <c r="D8" s="3" t="s">
        <v>244</v>
      </c>
      <c r="E8" s="3" t="s">
        <v>238</v>
      </c>
      <c r="F8" s="3" t="s">
        <v>238</v>
      </c>
      <c r="G8" s="3" t="s">
        <v>235</v>
      </c>
      <c r="H8" s="3" t="s">
        <v>241</v>
      </c>
      <c r="I8" s="3">
        <f t="shared" si="0"/>
        <v>3.01</v>
      </c>
    </row>
    <row r="9" spans="1:9" x14ac:dyDescent="0.25">
      <c r="A9" s="3" t="s">
        <v>29</v>
      </c>
      <c r="B9" s="4" t="s">
        <v>30</v>
      </c>
      <c r="C9" s="3" t="s">
        <v>235</v>
      </c>
      <c r="D9" s="3" t="s">
        <v>252</v>
      </c>
      <c r="E9" s="3" t="s">
        <v>243</v>
      </c>
      <c r="F9" s="3" t="s">
        <v>243</v>
      </c>
      <c r="G9" s="3" t="s">
        <v>238</v>
      </c>
      <c r="H9" s="3" t="s">
        <v>236</v>
      </c>
      <c r="I9" s="3">
        <f t="shared" si="0"/>
        <v>2.48</v>
      </c>
    </row>
    <row r="10" spans="1:9" x14ac:dyDescent="0.25">
      <c r="A10" s="3" t="s">
        <v>31</v>
      </c>
      <c r="B10" s="4" t="s">
        <v>32</v>
      </c>
      <c r="C10" s="3" t="s">
        <v>241</v>
      </c>
      <c r="D10" s="3" t="s">
        <v>243</v>
      </c>
      <c r="E10" s="3" t="s">
        <v>238</v>
      </c>
      <c r="F10" s="3" t="s">
        <v>238</v>
      </c>
      <c r="G10" s="3" t="s">
        <v>241</v>
      </c>
      <c r="H10" s="3" t="s">
        <v>242</v>
      </c>
      <c r="I10" s="3">
        <f t="shared" si="0"/>
        <v>3.23</v>
      </c>
    </row>
    <row r="11" spans="1:9" x14ac:dyDescent="0.25">
      <c r="A11" s="3" t="s">
        <v>33</v>
      </c>
      <c r="B11" s="4" t="s">
        <v>34</v>
      </c>
      <c r="C11" s="3" t="s">
        <v>242</v>
      </c>
      <c r="D11" s="3" t="s">
        <v>237</v>
      </c>
      <c r="E11" s="3" t="s">
        <v>235</v>
      </c>
      <c r="F11" s="3" t="s">
        <v>238</v>
      </c>
      <c r="G11" s="3" t="s">
        <v>241</v>
      </c>
      <c r="H11" s="3" t="s">
        <v>242</v>
      </c>
      <c r="I11" s="3">
        <f t="shared" si="0"/>
        <v>3.49</v>
      </c>
    </row>
    <row r="12" spans="1:9" x14ac:dyDescent="0.25">
      <c r="A12" s="3" t="s">
        <v>35</v>
      </c>
      <c r="B12" s="4" t="s">
        <v>36</v>
      </c>
      <c r="C12" s="3" t="s">
        <v>236</v>
      </c>
      <c r="D12" s="3" t="s">
        <v>238</v>
      </c>
      <c r="E12" s="3" t="s">
        <v>237</v>
      </c>
      <c r="F12" s="3" t="s">
        <v>238</v>
      </c>
      <c r="G12" s="3" t="s">
        <v>236</v>
      </c>
      <c r="H12" s="3" t="s">
        <v>242</v>
      </c>
      <c r="I12" s="3">
        <f t="shared" si="0"/>
        <v>3.27</v>
      </c>
    </row>
    <row r="13" spans="1:9" x14ac:dyDescent="0.25">
      <c r="A13" s="3" t="s">
        <v>37</v>
      </c>
      <c r="B13" s="4" t="s">
        <v>38</v>
      </c>
      <c r="C13" s="3" t="s">
        <v>236</v>
      </c>
      <c r="D13" s="3" t="s">
        <v>238</v>
      </c>
      <c r="E13" s="3" t="s">
        <v>237</v>
      </c>
      <c r="F13" s="3" t="s">
        <v>238</v>
      </c>
      <c r="G13" s="3" t="s">
        <v>236</v>
      </c>
      <c r="H13" s="3" t="s">
        <v>242</v>
      </c>
      <c r="I13" s="3">
        <f t="shared" si="0"/>
        <v>3.27</v>
      </c>
    </row>
    <row r="14" spans="1:9" x14ac:dyDescent="0.25">
      <c r="A14" s="3" t="s">
        <v>39</v>
      </c>
      <c r="B14" s="4" t="s">
        <v>40</v>
      </c>
      <c r="C14" s="3" t="s">
        <v>241</v>
      </c>
      <c r="D14" s="3" t="s">
        <v>238</v>
      </c>
      <c r="E14" s="3" t="s">
        <v>235</v>
      </c>
      <c r="F14" s="3" t="s">
        <v>235</v>
      </c>
      <c r="G14" s="3" t="s">
        <v>236</v>
      </c>
      <c r="H14" s="3" t="s">
        <v>242</v>
      </c>
      <c r="I14" s="3">
        <f t="shared" si="0"/>
        <v>3.47</v>
      </c>
    </row>
    <row r="15" spans="1:9" x14ac:dyDescent="0.25">
      <c r="A15" s="3" t="s">
        <v>41</v>
      </c>
      <c r="B15" s="4" t="s">
        <v>275</v>
      </c>
      <c r="C15" s="3" t="s">
        <v>236</v>
      </c>
      <c r="D15" s="3" t="s">
        <v>237</v>
      </c>
      <c r="E15" s="3" t="s">
        <v>237</v>
      </c>
      <c r="F15" s="3" t="s">
        <v>235</v>
      </c>
      <c r="G15" s="3" t="s">
        <v>236</v>
      </c>
      <c r="H15" s="3" t="s">
        <v>238</v>
      </c>
      <c r="I15" s="3">
        <f t="shared" si="0"/>
        <v>3.23</v>
      </c>
    </row>
    <row r="16" spans="1:9" x14ac:dyDescent="0.25">
      <c r="A16" s="3" t="s">
        <v>43</v>
      </c>
      <c r="B16" s="4" t="s">
        <v>44</v>
      </c>
      <c r="C16" s="3" t="s">
        <v>235</v>
      </c>
      <c r="D16" s="3" t="s">
        <v>252</v>
      </c>
      <c r="E16" s="3" t="s">
        <v>243</v>
      </c>
      <c r="F16" s="3" t="s">
        <v>244</v>
      </c>
      <c r="G16" s="3" t="s">
        <v>243</v>
      </c>
      <c r="H16" s="3" t="s">
        <v>238</v>
      </c>
      <c r="I16" s="3">
        <f t="shared" si="0"/>
        <v>2.25</v>
      </c>
    </row>
    <row r="17" spans="1:9" x14ac:dyDescent="0.25">
      <c r="A17" s="3" t="s">
        <v>45</v>
      </c>
      <c r="B17" s="4" t="s">
        <v>46</v>
      </c>
      <c r="C17" s="3" t="s">
        <v>242</v>
      </c>
      <c r="D17" s="3" t="s">
        <v>237</v>
      </c>
      <c r="E17" s="3" t="s">
        <v>235</v>
      </c>
      <c r="F17" s="3" t="s">
        <v>235</v>
      </c>
      <c r="G17" s="3" t="s">
        <v>236</v>
      </c>
      <c r="H17" s="3" t="s">
        <v>242</v>
      </c>
      <c r="I17" s="3">
        <f t="shared" si="0"/>
        <v>3.53</v>
      </c>
    </row>
    <row r="18" spans="1:9" x14ac:dyDescent="0.25">
      <c r="A18" s="3" t="s">
        <v>47</v>
      </c>
      <c r="B18" s="4" t="s">
        <v>48</v>
      </c>
      <c r="C18" s="3" t="s">
        <v>242</v>
      </c>
      <c r="D18" s="3" t="s">
        <v>235</v>
      </c>
      <c r="E18" s="3" t="s">
        <v>242</v>
      </c>
      <c r="F18" s="3" t="s">
        <v>236</v>
      </c>
      <c r="G18" s="3" t="s">
        <v>236</v>
      </c>
      <c r="H18" s="3" t="s">
        <v>236</v>
      </c>
      <c r="I18" s="3">
        <f t="shared" si="0"/>
        <v>3.74</v>
      </c>
    </row>
    <row r="19" spans="1:9" x14ac:dyDescent="0.25">
      <c r="A19" s="3" t="s">
        <v>49</v>
      </c>
      <c r="B19" s="4" t="s">
        <v>50</v>
      </c>
      <c r="C19" s="7" t="s">
        <v>235</v>
      </c>
      <c r="D19" s="8" t="s">
        <v>244</v>
      </c>
      <c r="E19" s="8" t="s">
        <v>243</v>
      </c>
      <c r="F19" s="8" t="s">
        <v>238</v>
      </c>
      <c r="G19" s="8" t="s">
        <v>238</v>
      </c>
      <c r="H19" s="8" t="s">
        <v>237</v>
      </c>
      <c r="I19" s="3">
        <f t="shared" si="0"/>
        <v>2.64</v>
      </c>
    </row>
    <row r="20" spans="1:9" x14ac:dyDescent="0.25">
      <c r="A20" s="3" t="s">
        <v>51</v>
      </c>
      <c r="B20" s="4" t="s">
        <v>52</v>
      </c>
      <c r="C20" s="3" t="s">
        <v>242</v>
      </c>
      <c r="D20" s="3" t="s">
        <v>237</v>
      </c>
      <c r="E20" s="3" t="s">
        <v>238</v>
      </c>
      <c r="F20" s="3" t="s">
        <v>237</v>
      </c>
      <c r="G20" s="3" t="s">
        <v>235</v>
      </c>
      <c r="H20" s="3" t="s">
        <v>242</v>
      </c>
      <c r="I20" s="3">
        <f t="shared" si="0"/>
        <v>3.31</v>
      </c>
    </row>
    <row r="21" spans="1:9" x14ac:dyDescent="0.25">
      <c r="A21" s="3" t="s">
        <v>53</v>
      </c>
      <c r="B21" s="4" t="s">
        <v>54</v>
      </c>
      <c r="C21" s="3" t="s">
        <v>242</v>
      </c>
      <c r="D21" s="3" t="s">
        <v>236</v>
      </c>
      <c r="E21" s="3" t="s">
        <v>236</v>
      </c>
      <c r="F21" s="3" t="s">
        <v>236</v>
      </c>
      <c r="G21" s="3" t="s">
        <v>242</v>
      </c>
      <c r="H21" s="3" t="s">
        <v>242</v>
      </c>
      <c r="I21" s="3">
        <f t="shared" si="0"/>
        <v>3.84</v>
      </c>
    </row>
    <row r="22" spans="1:9" x14ac:dyDescent="0.25">
      <c r="A22" s="3" t="s">
        <v>55</v>
      </c>
      <c r="B22" s="4" t="s">
        <v>56</v>
      </c>
      <c r="C22" s="3" t="s">
        <v>236</v>
      </c>
      <c r="D22" s="3" t="s">
        <v>244</v>
      </c>
      <c r="E22" s="3" t="s">
        <v>243</v>
      </c>
      <c r="F22" s="3" t="s">
        <v>238</v>
      </c>
      <c r="G22" s="3" t="s">
        <v>238</v>
      </c>
      <c r="H22" s="3" t="s">
        <v>235</v>
      </c>
      <c r="I22" s="3">
        <f t="shared" si="0"/>
        <v>2.76</v>
      </c>
    </row>
    <row r="23" spans="1:9" x14ac:dyDescent="0.25">
      <c r="A23" s="3" t="s">
        <v>57</v>
      </c>
      <c r="B23" s="4" t="s">
        <v>58</v>
      </c>
      <c r="C23" s="3" t="s">
        <v>236</v>
      </c>
      <c r="D23" s="3" t="s">
        <v>243</v>
      </c>
      <c r="E23" s="3" t="s">
        <v>243</v>
      </c>
      <c r="F23" s="3" t="s">
        <v>238</v>
      </c>
      <c r="G23" s="3" t="s">
        <v>238</v>
      </c>
      <c r="H23" s="3" t="s">
        <v>242</v>
      </c>
      <c r="I23" s="3">
        <f t="shared" si="0"/>
        <v>2.91</v>
      </c>
    </row>
    <row r="24" spans="1:9" x14ac:dyDescent="0.25">
      <c r="A24" s="3" t="s">
        <v>59</v>
      </c>
      <c r="B24" s="4" t="s">
        <v>60</v>
      </c>
      <c r="C24" s="3" t="s">
        <v>236</v>
      </c>
      <c r="D24" s="3" t="s">
        <v>243</v>
      </c>
      <c r="E24" s="3" t="s">
        <v>235</v>
      </c>
      <c r="F24" s="3" t="s">
        <v>235</v>
      </c>
      <c r="G24" s="3" t="s">
        <v>238</v>
      </c>
      <c r="H24" s="3" t="s">
        <v>242</v>
      </c>
      <c r="I24" s="3">
        <f t="shared" si="0"/>
        <v>3.19</v>
      </c>
    </row>
    <row r="25" spans="1:9" x14ac:dyDescent="0.25">
      <c r="A25" s="3" t="s">
        <v>61</v>
      </c>
      <c r="B25" s="4" t="s">
        <v>62</v>
      </c>
      <c r="C25" s="3" t="s">
        <v>241</v>
      </c>
      <c r="D25" s="3" t="s">
        <v>238</v>
      </c>
      <c r="E25" s="3" t="s">
        <v>237</v>
      </c>
      <c r="F25" s="3" t="s">
        <v>243</v>
      </c>
      <c r="G25" s="3" t="s">
        <v>236</v>
      </c>
      <c r="H25" s="3" t="s">
        <v>242</v>
      </c>
      <c r="I25" s="3">
        <f t="shared" si="0"/>
        <v>3.27</v>
      </c>
    </row>
    <row r="26" spans="1:9" x14ac:dyDescent="0.25">
      <c r="A26" s="3" t="s">
        <v>63</v>
      </c>
      <c r="B26" s="4" t="s">
        <v>64</v>
      </c>
      <c r="C26" s="3" t="s">
        <v>237</v>
      </c>
      <c r="D26" s="3" t="s">
        <v>252</v>
      </c>
      <c r="E26" s="3" t="s">
        <v>243</v>
      </c>
      <c r="F26" s="3" t="s">
        <v>243</v>
      </c>
      <c r="G26" s="3" t="s">
        <v>244</v>
      </c>
      <c r="H26" s="3" t="s">
        <v>236</v>
      </c>
      <c r="I26" s="3">
        <f t="shared" si="0"/>
        <v>2.33</v>
      </c>
    </row>
    <row r="27" spans="1:9" x14ac:dyDescent="0.25">
      <c r="A27" s="3" t="s">
        <v>65</v>
      </c>
      <c r="B27" s="4" t="s">
        <v>66</v>
      </c>
      <c r="C27" s="3" t="s">
        <v>235</v>
      </c>
      <c r="D27" s="3" t="s">
        <v>244</v>
      </c>
      <c r="E27" s="3" t="s">
        <v>238</v>
      </c>
      <c r="F27" s="3" t="s">
        <v>237</v>
      </c>
      <c r="G27" s="3" t="s">
        <v>238</v>
      </c>
      <c r="H27" s="3" t="s">
        <v>242</v>
      </c>
      <c r="I27" s="3">
        <f t="shared" si="0"/>
        <v>2.89</v>
      </c>
    </row>
    <row r="28" spans="1:9" x14ac:dyDescent="0.25">
      <c r="A28" s="3" t="s">
        <v>67</v>
      </c>
      <c r="B28" s="4" t="s">
        <v>68</v>
      </c>
      <c r="C28" s="3" t="s">
        <v>242</v>
      </c>
      <c r="D28" s="3" t="s">
        <v>235</v>
      </c>
      <c r="E28" s="3" t="s">
        <v>236</v>
      </c>
      <c r="F28" s="3" t="s">
        <v>237</v>
      </c>
      <c r="G28" s="3" t="s">
        <v>242</v>
      </c>
      <c r="H28" s="3" t="s">
        <v>242</v>
      </c>
      <c r="I28" s="3">
        <f t="shared" si="0"/>
        <v>3.67</v>
      </c>
    </row>
    <row r="29" spans="1:9" x14ac:dyDescent="0.25">
      <c r="A29" s="3" t="s">
        <v>69</v>
      </c>
      <c r="B29" s="4" t="s">
        <v>70</v>
      </c>
      <c r="C29" s="3" t="s">
        <v>242</v>
      </c>
      <c r="D29" s="3" t="s">
        <v>237</v>
      </c>
      <c r="E29" s="3" t="s">
        <v>241</v>
      </c>
      <c r="F29" s="3" t="s">
        <v>241</v>
      </c>
      <c r="G29" s="3" t="s">
        <v>236</v>
      </c>
      <c r="H29" s="3" t="s">
        <v>242</v>
      </c>
      <c r="I29" s="3">
        <f t="shared" si="0"/>
        <v>3.76</v>
      </c>
    </row>
    <row r="30" spans="1:9" x14ac:dyDescent="0.25">
      <c r="A30" s="3" t="s">
        <v>71</v>
      </c>
      <c r="B30" s="4" t="s">
        <v>72</v>
      </c>
      <c r="C30" s="3" t="s">
        <v>236</v>
      </c>
      <c r="D30" s="3" t="s">
        <v>238</v>
      </c>
      <c r="E30" s="3" t="s">
        <v>235</v>
      </c>
      <c r="F30" s="3" t="s">
        <v>237</v>
      </c>
      <c r="G30" s="3" t="s">
        <v>235</v>
      </c>
      <c r="H30" s="3" t="s">
        <v>242</v>
      </c>
      <c r="I30" s="3">
        <f t="shared" si="0"/>
        <v>3.31</v>
      </c>
    </row>
    <row r="31" spans="1:9" x14ac:dyDescent="0.25">
      <c r="A31" s="3" t="s">
        <v>73</v>
      </c>
      <c r="B31" s="4" t="s">
        <v>74</v>
      </c>
      <c r="C31" s="3" t="s">
        <v>242</v>
      </c>
      <c r="D31" s="3" t="s">
        <v>243</v>
      </c>
      <c r="E31" s="3" t="s">
        <v>238</v>
      </c>
      <c r="F31" s="3" t="s">
        <v>238</v>
      </c>
      <c r="G31" s="3" t="s">
        <v>235</v>
      </c>
      <c r="H31" s="3" t="s">
        <v>242</v>
      </c>
      <c r="I31" s="3">
        <f t="shared" si="0"/>
        <v>3.13</v>
      </c>
    </row>
    <row r="32" spans="1:9" x14ac:dyDescent="0.25">
      <c r="A32" s="3" t="s">
        <v>75</v>
      </c>
      <c r="B32" s="4" t="s">
        <v>76</v>
      </c>
      <c r="C32" s="3" t="s">
        <v>237</v>
      </c>
      <c r="D32" s="3" t="s">
        <v>237</v>
      </c>
      <c r="E32" s="3" t="s">
        <v>237</v>
      </c>
      <c r="F32" s="3" t="s">
        <v>243</v>
      </c>
      <c r="G32" s="3" t="s">
        <v>235</v>
      </c>
      <c r="H32" s="3" t="s">
        <v>241</v>
      </c>
      <c r="I32" s="3">
        <f t="shared" si="0"/>
        <v>3.08</v>
      </c>
    </row>
    <row r="33" spans="1:9" x14ac:dyDescent="0.25">
      <c r="A33" s="3" t="s">
        <v>77</v>
      </c>
      <c r="B33" s="4" t="s">
        <v>78</v>
      </c>
      <c r="C33" s="3" t="s">
        <v>241</v>
      </c>
      <c r="D33" s="3" t="s">
        <v>238</v>
      </c>
      <c r="E33" s="3" t="s">
        <v>237</v>
      </c>
      <c r="F33" s="3" t="s">
        <v>238</v>
      </c>
      <c r="G33" s="3" t="s">
        <v>235</v>
      </c>
      <c r="H33" s="3" t="s">
        <v>241</v>
      </c>
      <c r="I33" s="3">
        <f t="shared" si="0"/>
        <v>3.27</v>
      </c>
    </row>
    <row r="34" spans="1:9" x14ac:dyDescent="0.25">
      <c r="A34" s="3" t="s">
        <v>79</v>
      </c>
      <c r="B34" s="4" t="s">
        <v>80</v>
      </c>
      <c r="C34" s="3" t="s">
        <v>241</v>
      </c>
      <c r="D34" s="3" t="s">
        <v>243</v>
      </c>
      <c r="E34" s="3" t="s">
        <v>238</v>
      </c>
      <c r="F34" s="3" t="s">
        <v>237</v>
      </c>
      <c r="G34" s="3" t="s">
        <v>235</v>
      </c>
      <c r="H34" s="3" t="s">
        <v>235</v>
      </c>
      <c r="I34" s="3">
        <f t="shared" si="0"/>
        <v>3.08</v>
      </c>
    </row>
    <row r="35" spans="1:9" x14ac:dyDescent="0.25">
      <c r="A35" s="3" t="s">
        <v>81</v>
      </c>
      <c r="B35" s="4" t="s">
        <v>82</v>
      </c>
      <c r="C35" s="3" t="s">
        <v>242</v>
      </c>
      <c r="D35" s="3" t="s">
        <v>236</v>
      </c>
      <c r="E35" s="3" t="s">
        <v>236</v>
      </c>
      <c r="F35" s="3" t="s">
        <v>237</v>
      </c>
      <c r="G35" s="3" t="s">
        <v>241</v>
      </c>
      <c r="H35" s="3" t="s">
        <v>241</v>
      </c>
      <c r="I35" s="3">
        <f t="shared" ref="I35:I66" si="1">IFERROR(
ROUND(
(
(IF(C35="A+", 4, IF(C35="A", 4, IF(C35="A-", 3.7, IF(C35="B+", 3.3, IF(C35="B", 3, IF(C35="B-", 2.7, IF(C35="C+", 2.3, IF(C35="C", 2, IF(C35="C-", 1.7, IF(C35="D+", 1.3, IF(C35="D", 1, IF(C35="E", 0, 0))))))))))))) * 3 +
(IF(D35="A+", 4, IF(D35="A", 4, IF(D35="A-", 3.7, IF(D35="B+", 3.3, IF(D35="B", 3, IF(D35="B-", 2.7, IF(D35="C+", 2.3, IF(D35="C", 2, IF(D35="C-", 1.7, IF(D35="D+", 1.3, IF(D35="D", 1, IF(D35="E", 0, 0))))))))))))) * 3 +
(IF(E35="A+", 4, IF(E35="A", 4, IF(E35="A-", 3.7, IF(E35="B+", 3.3, IF(E35="B", 3, IF(E35="B-", 2.7, IF(E35="C+", 2.3, IF(E35="C", 2, IF(E35="C-", 1.7, IF(E35="D+", 1.3, IF(E35="D", 1, IF(E35="E", 0, 0))))))))))))) * 3 +
(IF(F35="A+", 4, IF(F35="A", 4, IF(F35="A-", 3.7, IF(F35="B+", 3.3, IF(F35="B", 3, IF(F35="B-", 2.7, IF(F35="C+", 2.3, IF(F35="C", 2, IF(F35="C-", 1.7, IF(F35="D+", 1.3, IF(F35="D", 1, IF(F35="E", 0, 0))))))))))))) * 2 +
(IF(G35="A+", 4, IF(G35="A", 4, IF(G35="A-", 3.7, IF(G35="B+", 3.3, IF(G35="B", 3, IF(G35="B-", 2.7, IF(G35="C+", 2.3, IF(G35="C", 2, IF(G35="C-", 1.7, IF(G35="D+", 1.3, IF(G35="D", 1, IF(G35="E", 0, 0))))))))))))) * 2 +
(IF(H35="A+", 4, IF(H35="A", 4, IF(H35="A-", 3.7, IF(H35="B+", 3.3, IF(H35="B", 3, IF(H35="B-", 2.7, IF(H35="C+", 2.3, IF(H35="C", 2, IF(H35="C-", 1.7, IF(H35="D+", 1.3, IF(H35="D", 1, IF(H35="E", 0, 0))))))))))))) *
2) /
(3 + 3 + 3 + 2 + 2 + 2),
2),
0)</f>
        <v>3.75</v>
      </c>
    </row>
    <row r="36" spans="1:9" x14ac:dyDescent="0.25">
      <c r="A36" s="3" t="s">
        <v>83</v>
      </c>
      <c r="B36" s="4" t="s">
        <v>84</v>
      </c>
      <c r="C36" s="3" t="s">
        <v>241</v>
      </c>
      <c r="D36" s="3" t="s">
        <v>237</v>
      </c>
      <c r="E36" s="3" t="s">
        <v>237</v>
      </c>
      <c r="F36" s="3" t="s">
        <v>238</v>
      </c>
      <c r="G36" s="3" t="s">
        <v>237</v>
      </c>
      <c r="H36" s="3" t="s">
        <v>242</v>
      </c>
      <c r="I36" s="3">
        <f t="shared" si="1"/>
        <v>3.29</v>
      </c>
    </row>
    <row r="37" spans="1:9" x14ac:dyDescent="0.25">
      <c r="A37" s="3" t="s">
        <v>85</v>
      </c>
      <c r="B37" s="4" t="s">
        <v>86</v>
      </c>
      <c r="C37" s="3" t="s">
        <v>241</v>
      </c>
      <c r="D37" s="3" t="s">
        <v>237</v>
      </c>
      <c r="E37" s="3" t="s">
        <v>236</v>
      </c>
      <c r="F37" s="3" t="s">
        <v>235</v>
      </c>
      <c r="G37" s="3" t="s">
        <v>236</v>
      </c>
      <c r="H37" s="3" t="s">
        <v>242</v>
      </c>
      <c r="I37" s="3">
        <f t="shared" si="1"/>
        <v>3.61</v>
      </c>
    </row>
    <row r="38" spans="1:9" x14ac:dyDescent="0.25">
      <c r="A38" s="3" t="s">
        <v>87</v>
      </c>
      <c r="B38" s="4" t="s">
        <v>88</v>
      </c>
      <c r="C38" s="3" t="s">
        <v>241</v>
      </c>
      <c r="D38" s="3" t="s">
        <v>238</v>
      </c>
      <c r="E38" s="3" t="s">
        <v>237</v>
      </c>
      <c r="F38" s="3" t="s">
        <v>243</v>
      </c>
      <c r="G38" s="3" t="s">
        <v>237</v>
      </c>
      <c r="H38" s="3" t="s">
        <v>236</v>
      </c>
      <c r="I38" s="3">
        <f t="shared" si="1"/>
        <v>3.14</v>
      </c>
    </row>
    <row r="39" spans="1:9" x14ac:dyDescent="0.25">
      <c r="A39" s="3" t="s">
        <v>89</v>
      </c>
      <c r="B39" s="4" t="s">
        <v>90</v>
      </c>
      <c r="C39" s="3" t="s">
        <v>242</v>
      </c>
      <c r="D39" s="3" t="s">
        <v>235</v>
      </c>
      <c r="E39" s="3" t="s">
        <v>236</v>
      </c>
      <c r="F39" s="3" t="s">
        <v>235</v>
      </c>
      <c r="G39" s="3" t="s">
        <v>241</v>
      </c>
      <c r="H39" s="3" t="s">
        <v>242</v>
      </c>
      <c r="I39" s="3">
        <f t="shared" si="1"/>
        <v>3.71</v>
      </c>
    </row>
    <row r="40" spans="1:9" x14ac:dyDescent="0.25">
      <c r="A40" s="3" t="s">
        <v>91</v>
      </c>
      <c r="B40" s="4" t="s">
        <v>92</v>
      </c>
      <c r="C40" s="3" t="s">
        <v>242</v>
      </c>
      <c r="D40" s="3" t="s">
        <v>243</v>
      </c>
      <c r="E40" s="3" t="s">
        <v>236</v>
      </c>
      <c r="F40" s="3" t="s">
        <v>235</v>
      </c>
      <c r="G40" s="3" t="s">
        <v>242</v>
      </c>
      <c r="H40" s="3" t="s">
        <v>242</v>
      </c>
      <c r="I40" s="3">
        <f t="shared" si="1"/>
        <v>3.51</v>
      </c>
    </row>
    <row r="41" spans="1:9" x14ac:dyDescent="0.25">
      <c r="A41" s="3" t="s">
        <v>93</v>
      </c>
      <c r="B41" s="4" t="s">
        <v>94</v>
      </c>
      <c r="C41" s="3" t="s">
        <v>242</v>
      </c>
      <c r="D41" s="3" t="s">
        <v>237</v>
      </c>
      <c r="E41" s="3" t="s">
        <v>236</v>
      </c>
      <c r="F41" s="3" t="s">
        <v>237</v>
      </c>
      <c r="G41" s="3" t="s">
        <v>241</v>
      </c>
      <c r="H41" s="3" t="s">
        <v>242</v>
      </c>
      <c r="I41" s="3">
        <f t="shared" si="1"/>
        <v>3.61</v>
      </c>
    </row>
    <row r="42" spans="1:9" x14ac:dyDescent="0.25">
      <c r="A42" s="3" t="s">
        <v>95</v>
      </c>
      <c r="B42" s="4" t="s">
        <v>96</v>
      </c>
      <c r="C42" s="3" t="s">
        <v>241</v>
      </c>
      <c r="D42" s="3" t="s">
        <v>235</v>
      </c>
      <c r="E42" s="3" t="s">
        <v>235</v>
      </c>
      <c r="F42" s="3" t="s">
        <v>238</v>
      </c>
      <c r="G42" s="3" t="s">
        <v>242</v>
      </c>
      <c r="H42" s="3" t="s">
        <v>242</v>
      </c>
      <c r="I42" s="3">
        <f t="shared" si="1"/>
        <v>3.55</v>
      </c>
    </row>
    <row r="43" spans="1:9" x14ac:dyDescent="0.25">
      <c r="A43" s="3" t="s">
        <v>97</v>
      </c>
      <c r="B43" s="4" t="s">
        <v>98</v>
      </c>
      <c r="C43" s="3" t="s">
        <v>241</v>
      </c>
      <c r="D43" s="3" t="s">
        <v>238</v>
      </c>
      <c r="E43" s="3" t="s">
        <v>236</v>
      </c>
      <c r="F43" s="3" t="s">
        <v>237</v>
      </c>
      <c r="G43" s="3" t="s">
        <v>236</v>
      </c>
      <c r="H43" s="3" t="s">
        <v>242</v>
      </c>
      <c r="I43" s="3">
        <f t="shared" si="1"/>
        <v>3.51</v>
      </c>
    </row>
    <row r="44" spans="1:9" x14ac:dyDescent="0.25">
      <c r="A44" s="3" t="s">
        <v>99</v>
      </c>
      <c r="B44" s="4" t="s">
        <v>100</v>
      </c>
      <c r="C44" s="3" t="s">
        <v>242</v>
      </c>
      <c r="D44" s="3" t="s">
        <v>241</v>
      </c>
      <c r="E44" s="3" t="s">
        <v>235</v>
      </c>
      <c r="F44" s="3" t="s">
        <v>241</v>
      </c>
      <c r="G44" s="3" t="s">
        <v>241</v>
      </c>
      <c r="H44" s="3" t="s">
        <v>242</v>
      </c>
      <c r="I44" s="3">
        <f t="shared" si="1"/>
        <v>3.86</v>
      </c>
    </row>
    <row r="45" spans="1:9" x14ac:dyDescent="0.25">
      <c r="A45" s="3" t="s">
        <v>101</v>
      </c>
      <c r="B45" s="4" t="s">
        <v>102</v>
      </c>
      <c r="C45" s="3" t="s">
        <v>241</v>
      </c>
      <c r="D45" s="3" t="s">
        <v>237</v>
      </c>
      <c r="E45" s="3" t="s">
        <v>241</v>
      </c>
      <c r="F45" s="3" t="s">
        <v>236</v>
      </c>
      <c r="G45" s="3" t="s">
        <v>241</v>
      </c>
      <c r="H45" s="3" t="s">
        <v>242</v>
      </c>
      <c r="I45" s="3">
        <f t="shared" si="1"/>
        <v>3.76</v>
      </c>
    </row>
    <row r="46" spans="1:9" x14ac:dyDescent="0.25">
      <c r="A46" s="3" t="s">
        <v>103</v>
      </c>
      <c r="B46" s="4" t="s">
        <v>104</v>
      </c>
      <c r="C46" s="3" t="s">
        <v>241</v>
      </c>
      <c r="D46" s="3" t="s">
        <v>235</v>
      </c>
      <c r="E46" s="3" t="s">
        <v>241</v>
      </c>
      <c r="F46" s="3" t="s">
        <v>238</v>
      </c>
      <c r="G46" s="3" t="s">
        <v>241</v>
      </c>
      <c r="H46" s="3" t="s">
        <v>242</v>
      </c>
      <c r="I46" s="3">
        <f t="shared" si="1"/>
        <v>3.69</v>
      </c>
    </row>
    <row r="47" spans="1:9" x14ac:dyDescent="0.25">
      <c r="A47" s="3" t="s">
        <v>105</v>
      </c>
      <c r="B47" s="4" t="s">
        <v>106</v>
      </c>
      <c r="C47" s="3" t="s">
        <v>237</v>
      </c>
      <c r="D47" s="3" t="s">
        <v>239</v>
      </c>
      <c r="E47" s="3" t="s">
        <v>243</v>
      </c>
      <c r="F47" s="3" t="s">
        <v>243</v>
      </c>
      <c r="G47" s="3" t="s">
        <v>243</v>
      </c>
      <c r="H47" s="3" t="s">
        <v>239</v>
      </c>
      <c r="I47" s="3">
        <f t="shared" si="1"/>
        <v>2.2400000000000002</v>
      </c>
    </row>
    <row r="48" spans="1:9" x14ac:dyDescent="0.25">
      <c r="A48" s="3" t="s">
        <v>107</v>
      </c>
      <c r="B48" s="4" t="s">
        <v>108</v>
      </c>
      <c r="C48" s="3" t="s">
        <v>242</v>
      </c>
      <c r="D48" s="3" t="s">
        <v>235</v>
      </c>
      <c r="E48" s="3" t="s">
        <v>235</v>
      </c>
      <c r="F48" s="3" t="s">
        <v>235</v>
      </c>
      <c r="G48" s="3" t="s">
        <v>241</v>
      </c>
      <c r="H48" s="3" t="s">
        <v>242</v>
      </c>
      <c r="I48" s="3">
        <f t="shared" si="1"/>
        <v>3.63</v>
      </c>
    </row>
    <row r="49" spans="1:9" x14ac:dyDescent="0.25">
      <c r="A49" s="3" t="s">
        <v>109</v>
      </c>
      <c r="B49" s="4" t="s">
        <v>110</v>
      </c>
      <c r="C49" s="3" t="s">
        <v>235</v>
      </c>
      <c r="D49" s="3" t="s">
        <v>243</v>
      </c>
      <c r="E49" s="3" t="s">
        <v>238</v>
      </c>
      <c r="F49" s="3" t="s">
        <v>237</v>
      </c>
      <c r="G49" s="3" t="s">
        <v>237</v>
      </c>
      <c r="H49" s="3" t="s">
        <v>237</v>
      </c>
      <c r="I49" s="3">
        <f t="shared" si="1"/>
        <v>2.86</v>
      </c>
    </row>
    <row r="50" spans="1:9" x14ac:dyDescent="0.25">
      <c r="A50" s="3" t="s">
        <v>111</v>
      </c>
      <c r="B50" s="4" t="s">
        <v>112</v>
      </c>
      <c r="C50" s="3" t="s">
        <v>242</v>
      </c>
      <c r="D50" s="3" t="s">
        <v>235</v>
      </c>
      <c r="E50" s="3" t="s">
        <v>236</v>
      </c>
      <c r="F50" s="3" t="s">
        <v>236</v>
      </c>
      <c r="G50" s="3" t="s">
        <v>242</v>
      </c>
      <c r="H50" s="3" t="s">
        <v>242</v>
      </c>
      <c r="I50" s="3">
        <f t="shared" si="1"/>
        <v>3.76</v>
      </c>
    </row>
    <row r="51" spans="1:9" x14ac:dyDescent="0.25">
      <c r="A51" s="3" t="s">
        <v>113</v>
      </c>
      <c r="B51" s="4" t="s">
        <v>114</v>
      </c>
      <c r="C51" s="3" t="s">
        <v>236</v>
      </c>
      <c r="D51" s="3" t="s">
        <v>243</v>
      </c>
      <c r="E51" s="3" t="s">
        <v>235</v>
      </c>
      <c r="F51" s="3" t="s">
        <v>243</v>
      </c>
      <c r="G51" s="3" t="s">
        <v>236</v>
      </c>
      <c r="H51" s="3" t="s">
        <v>236</v>
      </c>
      <c r="I51" s="3">
        <f t="shared" si="1"/>
        <v>3.15</v>
      </c>
    </row>
    <row r="52" spans="1:9" x14ac:dyDescent="0.25">
      <c r="A52" s="3" t="s">
        <v>115</v>
      </c>
      <c r="B52" s="4" t="s">
        <v>116</v>
      </c>
      <c r="C52" s="3" t="s">
        <v>242</v>
      </c>
      <c r="D52" s="3" t="s">
        <v>238</v>
      </c>
      <c r="E52" s="3" t="s">
        <v>235</v>
      </c>
      <c r="F52" s="3" t="s">
        <v>235</v>
      </c>
      <c r="G52" s="3" t="s">
        <v>242</v>
      </c>
      <c r="H52" s="3" t="s">
        <v>242</v>
      </c>
      <c r="I52" s="3">
        <f t="shared" si="1"/>
        <v>3.51</v>
      </c>
    </row>
    <row r="53" spans="1:9" x14ac:dyDescent="0.25">
      <c r="A53" s="3" t="s">
        <v>117</v>
      </c>
      <c r="B53" s="4" t="s">
        <v>118</v>
      </c>
      <c r="C53" s="3" t="s">
        <v>241</v>
      </c>
      <c r="D53" s="3" t="s">
        <v>235</v>
      </c>
      <c r="E53" s="3" t="s">
        <v>235</v>
      </c>
      <c r="F53" s="3" t="s">
        <v>237</v>
      </c>
      <c r="G53" s="3" t="s">
        <v>241</v>
      </c>
      <c r="H53" s="3" t="s">
        <v>242</v>
      </c>
      <c r="I53" s="3">
        <f t="shared" si="1"/>
        <v>3.59</v>
      </c>
    </row>
    <row r="54" spans="1:9" x14ac:dyDescent="0.25">
      <c r="A54" s="3" t="s">
        <v>119</v>
      </c>
      <c r="B54" s="4" t="s">
        <v>120</v>
      </c>
      <c r="C54" s="3" t="s">
        <v>236</v>
      </c>
      <c r="D54" s="3" t="s">
        <v>235</v>
      </c>
      <c r="E54" s="3" t="s">
        <v>236</v>
      </c>
      <c r="F54" s="3" t="s">
        <v>235</v>
      </c>
      <c r="G54" s="3" t="s">
        <v>236</v>
      </c>
      <c r="H54" s="3" t="s">
        <v>241</v>
      </c>
      <c r="I54" s="3">
        <f t="shared" si="1"/>
        <v>3.61</v>
      </c>
    </row>
    <row r="55" spans="1:9" x14ac:dyDescent="0.25">
      <c r="A55" s="3" t="s">
        <v>121</v>
      </c>
      <c r="B55" s="4" t="s">
        <v>122</v>
      </c>
      <c r="C55" s="3" t="s">
        <v>237</v>
      </c>
      <c r="D55" s="3" t="s">
        <v>244</v>
      </c>
      <c r="E55" s="3" t="s">
        <v>244</v>
      </c>
      <c r="F55" s="3" t="s">
        <v>243</v>
      </c>
      <c r="G55" s="3" t="s">
        <v>237</v>
      </c>
      <c r="H55" s="3" t="s">
        <v>242</v>
      </c>
      <c r="I55" s="3">
        <f t="shared" si="1"/>
        <v>2.64</v>
      </c>
    </row>
    <row r="56" spans="1:9" x14ac:dyDescent="0.25">
      <c r="A56" s="3" t="s">
        <v>123</v>
      </c>
      <c r="B56" s="4" t="s">
        <v>124</v>
      </c>
      <c r="C56" s="3" t="s">
        <v>241</v>
      </c>
      <c r="D56" s="3" t="s">
        <v>237</v>
      </c>
      <c r="E56" s="3" t="s">
        <v>236</v>
      </c>
      <c r="F56" s="3" t="s">
        <v>237</v>
      </c>
      <c r="G56" s="3" t="s">
        <v>242</v>
      </c>
      <c r="H56" s="3" t="s">
        <v>242</v>
      </c>
      <c r="I56" s="3">
        <f t="shared" si="1"/>
        <v>3.61</v>
      </c>
    </row>
    <row r="57" spans="1:9" x14ac:dyDescent="0.25">
      <c r="A57" s="3" t="s">
        <v>125</v>
      </c>
      <c r="B57" s="4" t="s">
        <v>126</v>
      </c>
      <c r="C57" s="3" t="s">
        <v>242</v>
      </c>
      <c r="D57" s="3" t="s">
        <v>237</v>
      </c>
      <c r="E57" s="3" t="s">
        <v>236</v>
      </c>
      <c r="F57" s="3" t="s">
        <v>237</v>
      </c>
      <c r="G57" s="3" t="s">
        <v>236</v>
      </c>
      <c r="H57" s="3" t="s">
        <v>241</v>
      </c>
      <c r="I57" s="3">
        <f t="shared" si="1"/>
        <v>3.57</v>
      </c>
    </row>
    <row r="58" spans="1:9" x14ac:dyDescent="0.25">
      <c r="A58" s="3" t="s">
        <v>127</v>
      </c>
      <c r="B58" s="4" t="s">
        <v>128</v>
      </c>
      <c r="C58" s="3" t="s">
        <v>242</v>
      </c>
      <c r="D58" s="3" t="s">
        <v>241</v>
      </c>
      <c r="E58" s="3" t="s">
        <v>242</v>
      </c>
      <c r="F58" s="3" t="s">
        <v>236</v>
      </c>
      <c r="G58" s="3" t="s">
        <v>241</v>
      </c>
      <c r="H58" s="3" t="s">
        <v>242</v>
      </c>
      <c r="I58" s="3">
        <f t="shared" si="1"/>
        <v>3.96</v>
      </c>
    </row>
    <row r="59" spans="1:9" x14ac:dyDescent="0.25">
      <c r="A59" s="3" t="s">
        <v>129</v>
      </c>
      <c r="B59" s="4" t="s">
        <v>130</v>
      </c>
      <c r="C59" s="3" t="s">
        <v>235</v>
      </c>
      <c r="D59" s="3" t="s">
        <v>239</v>
      </c>
      <c r="E59" s="3" t="s">
        <v>237</v>
      </c>
      <c r="F59" s="3" t="s">
        <v>238</v>
      </c>
      <c r="G59" s="3" t="s">
        <v>235</v>
      </c>
      <c r="H59" s="3" t="s">
        <v>237</v>
      </c>
      <c r="I59" s="3">
        <f t="shared" si="1"/>
        <v>2.8</v>
      </c>
    </row>
    <row r="60" spans="1:9" x14ac:dyDescent="0.25">
      <c r="A60" s="3" t="s">
        <v>131</v>
      </c>
      <c r="B60" s="4" t="s">
        <v>132</v>
      </c>
      <c r="C60" s="3" t="s">
        <v>236</v>
      </c>
      <c r="D60" s="3" t="s">
        <v>267</v>
      </c>
      <c r="E60" s="3" t="s">
        <v>237</v>
      </c>
      <c r="F60" s="3" t="s">
        <v>243</v>
      </c>
      <c r="G60" s="3" t="s">
        <v>235</v>
      </c>
      <c r="H60" s="3" t="s">
        <v>236</v>
      </c>
      <c r="I60" s="3">
        <f t="shared" si="1"/>
        <v>2.84</v>
      </c>
    </row>
    <row r="61" spans="1:9" x14ac:dyDescent="0.25">
      <c r="A61" s="3" t="s">
        <v>133</v>
      </c>
      <c r="B61" s="4" t="s">
        <v>134</v>
      </c>
      <c r="C61" s="3" t="s">
        <v>235</v>
      </c>
      <c r="D61" s="3" t="s">
        <v>243</v>
      </c>
      <c r="E61" s="3" t="s">
        <v>237</v>
      </c>
      <c r="F61" s="3" t="s">
        <v>243</v>
      </c>
      <c r="G61" s="3" t="s">
        <v>236</v>
      </c>
      <c r="H61" s="3" t="s">
        <v>242</v>
      </c>
      <c r="I61" s="3">
        <f t="shared" si="1"/>
        <v>3.05</v>
      </c>
    </row>
    <row r="62" spans="1:9" x14ac:dyDescent="0.25">
      <c r="A62" s="3" t="s">
        <v>135</v>
      </c>
      <c r="B62" s="4" t="s">
        <v>136</v>
      </c>
      <c r="C62" s="3" t="s">
        <v>237</v>
      </c>
      <c r="D62" s="3" t="s">
        <v>244</v>
      </c>
      <c r="E62" s="3" t="s">
        <v>237</v>
      </c>
      <c r="F62" s="3" t="s">
        <v>243</v>
      </c>
      <c r="G62" s="3" t="s">
        <v>235</v>
      </c>
      <c r="H62" s="3" t="s">
        <v>242</v>
      </c>
      <c r="I62" s="3">
        <f t="shared" si="1"/>
        <v>2.88</v>
      </c>
    </row>
    <row r="63" spans="1:9" x14ac:dyDescent="0.25">
      <c r="A63" s="3" t="s">
        <v>137</v>
      </c>
      <c r="B63" s="4" t="s">
        <v>138</v>
      </c>
      <c r="C63" s="3" t="s">
        <v>243</v>
      </c>
      <c r="D63" s="3" t="s">
        <v>253</v>
      </c>
      <c r="E63" s="3" t="s">
        <v>252</v>
      </c>
      <c r="F63" s="3" t="s">
        <v>244</v>
      </c>
      <c r="G63" s="3" t="s">
        <v>239</v>
      </c>
      <c r="H63" s="3" t="s">
        <v>239</v>
      </c>
      <c r="I63" s="3">
        <f t="shared" si="1"/>
        <v>1.38</v>
      </c>
    </row>
    <row r="64" spans="1:9" x14ac:dyDescent="0.25">
      <c r="A64" s="3" t="s">
        <v>139</v>
      </c>
      <c r="B64" s="4" t="s">
        <v>140</v>
      </c>
      <c r="C64" s="3" t="s">
        <v>241</v>
      </c>
      <c r="D64" s="3" t="s">
        <v>237</v>
      </c>
      <c r="E64" s="3" t="s">
        <v>235</v>
      </c>
      <c r="F64" s="3" t="s">
        <v>237</v>
      </c>
      <c r="G64" s="3" t="s">
        <v>236</v>
      </c>
      <c r="H64" s="3" t="s">
        <v>242</v>
      </c>
      <c r="I64" s="3">
        <f t="shared" si="1"/>
        <v>3.49</v>
      </c>
    </row>
    <row r="65" spans="1:9" x14ac:dyDescent="0.25">
      <c r="A65" s="3" t="s">
        <v>141</v>
      </c>
      <c r="B65" s="4" t="s">
        <v>142</v>
      </c>
      <c r="C65" s="3" t="s">
        <v>237</v>
      </c>
      <c r="D65" s="3" t="s">
        <v>239</v>
      </c>
      <c r="E65" s="3" t="s">
        <v>238</v>
      </c>
      <c r="F65" s="3" t="s">
        <v>243</v>
      </c>
      <c r="G65" s="3" t="s">
        <v>236</v>
      </c>
      <c r="H65" s="3" t="s">
        <v>237</v>
      </c>
      <c r="I65" s="3">
        <f t="shared" si="1"/>
        <v>2.68</v>
      </c>
    </row>
    <row r="66" spans="1:9" x14ac:dyDescent="0.25">
      <c r="A66" s="3" t="s">
        <v>143</v>
      </c>
      <c r="B66" s="4" t="s">
        <v>144</v>
      </c>
      <c r="C66" s="3" t="s">
        <v>236</v>
      </c>
      <c r="D66" s="3" t="s">
        <v>243</v>
      </c>
      <c r="E66" s="3" t="s">
        <v>235</v>
      </c>
      <c r="F66" s="3" t="s">
        <v>243</v>
      </c>
      <c r="G66" s="3" t="s">
        <v>235</v>
      </c>
      <c r="H66" s="3" t="s">
        <v>236</v>
      </c>
      <c r="I66" s="3">
        <f t="shared" si="1"/>
        <v>3.1</v>
      </c>
    </row>
    <row r="67" spans="1:9" x14ac:dyDescent="0.25">
      <c r="A67" s="3" t="s">
        <v>145</v>
      </c>
      <c r="B67" s="4" t="s">
        <v>146</v>
      </c>
      <c r="C67" s="3" t="s">
        <v>241</v>
      </c>
      <c r="D67" s="3" t="s">
        <v>238</v>
      </c>
      <c r="E67" s="3" t="s">
        <v>237</v>
      </c>
      <c r="F67" s="3" t="s">
        <v>238</v>
      </c>
      <c r="G67" s="3" t="s">
        <v>236</v>
      </c>
      <c r="H67" s="3" t="s">
        <v>241</v>
      </c>
      <c r="I67" s="3">
        <f t="shared" ref="I67:I98" si="2">IFERROR(
ROUND(
(
(IF(C67="A+", 4, IF(C67="A", 4, IF(C67="A-", 3.7, IF(C67="B+", 3.3, IF(C67="B", 3, IF(C67="B-", 2.7, IF(C67="C+", 2.3, IF(C67="C", 2, IF(C67="C-", 1.7, IF(C67="D+", 1.3, IF(C67="D", 1, IF(C67="E", 0, 0))))))))))))) * 3 +
(IF(D67="A+", 4, IF(D67="A", 4, IF(D67="A-", 3.7, IF(D67="B+", 3.3, IF(D67="B", 3, IF(D67="B-", 2.7, IF(D67="C+", 2.3, IF(D67="C", 2, IF(D67="C-", 1.7, IF(D67="D+", 1.3, IF(D67="D", 1, IF(D67="E", 0, 0))))))))))))) * 3 +
(IF(E67="A+", 4, IF(E67="A", 4, IF(E67="A-", 3.7, IF(E67="B+", 3.3, IF(E67="B", 3, IF(E67="B-", 2.7, IF(E67="C+", 2.3, IF(E67="C", 2, IF(E67="C-", 1.7, IF(E67="D+", 1.3, IF(E67="D", 1, IF(E67="E", 0, 0))))))))))))) * 3 +
(IF(F67="A+", 4, IF(F67="A", 4, IF(F67="A-", 3.7, IF(F67="B+", 3.3, IF(F67="B", 3, IF(F67="B-", 2.7, IF(F67="C+", 2.3, IF(F67="C", 2, IF(F67="C-", 1.7, IF(F67="D+", 1.3, IF(F67="D", 1, IF(F67="E", 0, 0))))))))))))) * 2 +
(IF(G67="A+", 4, IF(G67="A", 4, IF(G67="A-", 3.7, IF(G67="B+", 3.3, IF(G67="B", 3, IF(G67="B-", 2.7, IF(G67="C+", 2.3, IF(G67="C", 2, IF(G67="C-", 1.7, IF(G67="D+", 1.3, IF(G67="D", 1, IF(G67="E", 0, 0))))))))))))) * 2 +
(IF(H67="A+", 4, IF(H67="A", 4, IF(H67="A-", 3.7, IF(H67="B+", 3.3, IF(H67="B", 3, IF(H67="B-", 2.7, IF(H67="C+", 2.3, IF(H67="C", 2, IF(H67="C-", 1.7, IF(H67="D+", 1.3, IF(H67="D", 1, IF(H67="E", 0, 0))))))))))))) *
2) /
(3 + 3 + 3 + 2 + 2 + 2),
2),
0)</f>
        <v>3.33</v>
      </c>
    </row>
    <row r="68" spans="1:9" x14ac:dyDescent="0.25">
      <c r="A68" s="3" t="s">
        <v>147</v>
      </c>
      <c r="B68" s="4" t="s">
        <v>148</v>
      </c>
      <c r="C68" s="3" t="s">
        <v>236</v>
      </c>
      <c r="D68" s="3" t="s">
        <v>238</v>
      </c>
      <c r="E68" s="3" t="s">
        <v>236</v>
      </c>
      <c r="F68" s="3" t="s">
        <v>243</v>
      </c>
      <c r="G68" s="3" t="s">
        <v>241</v>
      </c>
      <c r="H68" s="3" t="s">
        <v>242</v>
      </c>
      <c r="I68" s="3">
        <f t="shared" si="2"/>
        <v>3.39</v>
      </c>
    </row>
    <row r="69" spans="1:9" x14ac:dyDescent="0.25">
      <c r="A69" s="3" t="s">
        <v>149</v>
      </c>
      <c r="B69" s="4" t="s">
        <v>150</v>
      </c>
      <c r="C69" s="3" t="s">
        <v>241</v>
      </c>
      <c r="D69" s="3" t="s">
        <v>238</v>
      </c>
      <c r="E69" s="3" t="s">
        <v>237</v>
      </c>
      <c r="F69" s="3" t="s">
        <v>238</v>
      </c>
      <c r="G69" s="3" t="s">
        <v>236</v>
      </c>
      <c r="H69" s="3" t="s">
        <v>237</v>
      </c>
      <c r="I69" s="3">
        <f t="shared" si="2"/>
        <v>3.19</v>
      </c>
    </row>
    <row r="70" spans="1:9" x14ac:dyDescent="0.25">
      <c r="A70" s="3" t="s">
        <v>151</v>
      </c>
      <c r="B70" s="4" t="s">
        <v>152</v>
      </c>
      <c r="C70" s="3" t="s">
        <v>235</v>
      </c>
      <c r="D70" s="3" t="s">
        <v>252</v>
      </c>
      <c r="E70" s="3" t="s">
        <v>243</v>
      </c>
      <c r="F70" s="3" t="s">
        <v>244</v>
      </c>
      <c r="G70" s="3" t="s">
        <v>238</v>
      </c>
      <c r="H70" s="3" t="s">
        <v>243</v>
      </c>
      <c r="I70" s="3">
        <f t="shared" si="2"/>
        <v>2.25</v>
      </c>
    </row>
    <row r="71" spans="1:9" x14ac:dyDescent="0.25">
      <c r="A71" s="3" t="s">
        <v>153</v>
      </c>
      <c r="B71" s="4" t="s">
        <v>154</v>
      </c>
      <c r="C71" s="3" t="s">
        <v>238</v>
      </c>
      <c r="D71" s="3" t="s">
        <v>239</v>
      </c>
      <c r="E71" s="3" t="s">
        <v>243</v>
      </c>
      <c r="F71" s="3" t="s">
        <v>243</v>
      </c>
      <c r="G71" s="3" t="s">
        <v>238</v>
      </c>
      <c r="H71" s="3" t="s">
        <v>237</v>
      </c>
      <c r="I71" s="3">
        <f t="shared" si="2"/>
        <v>2.41</v>
      </c>
    </row>
    <row r="72" spans="1:9" x14ac:dyDescent="0.25">
      <c r="A72" s="3" t="s">
        <v>155</v>
      </c>
      <c r="B72" s="4" t="s">
        <v>282</v>
      </c>
      <c r="C72" s="3" t="s">
        <v>241</v>
      </c>
      <c r="D72" s="3" t="s">
        <v>241</v>
      </c>
      <c r="E72" s="3" t="s">
        <v>241</v>
      </c>
      <c r="F72" s="3" t="s">
        <v>235</v>
      </c>
      <c r="G72" s="3" t="s">
        <v>241</v>
      </c>
      <c r="H72" s="3" t="s">
        <v>242</v>
      </c>
      <c r="I72" s="3">
        <f t="shared" si="2"/>
        <v>3.91</v>
      </c>
    </row>
    <row r="73" spans="1:9" x14ac:dyDescent="0.25">
      <c r="A73" s="3" t="s">
        <v>157</v>
      </c>
      <c r="B73" s="4" t="s">
        <v>158</v>
      </c>
      <c r="C73" s="3" t="s">
        <v>238</v>
      </c>
      <c r="D73" s="3" t="s">
        <v>244</v>
      </c>
      <c r="E73" s="3" t="s">
        <v>243</v>
      </c>
      <c r="F73" s="3" t="s">
        <v>243</v>
      </c>
      <c r="G73" s="3" t="s">
        <v>237</v>
      </c>
      <c r="H73" s="3" t="s">
        <v>243</v>
      </c>
      <c r="I73" s="3">
        <f t="shared" si="2"/>
        <v>2.41</v>
      </c>
    </row>
    <row r="74" spans="1:9" x14ac:dyDescent="0.25">
      <c r="A74" s="3" t="s">
        <v>159</v>
      </c>
      <c r="B74" s="4" t="s">
        <v>160</v>
      </c>
      <c r="C74" s="3" t="s">
        <v>241</v>
      </c>
      <c r="D74" s="3" t="s">
        <v>237</v>
      </c>
      <c r="E74" s="3" t="s">
        <v>235</v>
      </c>
      <c r="F74" s="3" t="s">
        <v>237</v>
      </c>
      <c r="G74" s="3" t="s">
        <v>236</v>
      </c>
      <c r="H74" s="3" t="s">
        <v>242</v>
      </c>
      <c r="I74" s="3">
        <f t="shared" si="2"/>
        <v>3.49</v>
      </c>
    </row>
    <row r="75" spans="1:9" x14ac:dyDescent="0.25">
      <c r="A75" s="3" t="s">
        <v>161</v>
      </c>
      <c r="B75" s="4" t="s">
        <v>162</v>
      </c>
      <c r="C75" s="3" t="s">
        <v>241</v>
      </c>
      <c r="D75" s="3" t="s">
        <v>243</v>
      </c>
      <c r="E75" s="3" t="s">
        <v>238</v>
      </c>
      <c r="F75" s="3" t="s">
        <v>238</v>
      </c>
      <c r="G75" s="3" t="s">
        <v>242</v>
      </c>
      <c r="H75" s="3" t="s">
        <v>242</v>
      </c>
      <c r="I75" s="3">
        <f t="shared" si="2"/>
        <v>3.23</v>
      </c>
    </row>
    <row r="76" spans="1:9" x14ac:dyDescent="0.25">
      <c r="A76" s="3" t="s">
        <v>163</v>
      </c>
      <c r="B76" s="4" t="s">
        <v>164</v>
      </c>
      <c r="C76" s="3" t="s">
        <v>236</v>
      </c>
      <c r="D76" s="3" t="s">
        <v>238</v>
      </c>
      <c r="E76" s="3" t="s">
        <v>235</v>
      </c>
      <c r="F76" s="3" t="s">
        <v>243</v>
      </c>
      <c r="G76" s="3" t="s">
        <v>235</v>
      </c>
      <c r="H76" s="3" t="s">
        <v>242</v>
      </c>
      <c r="I76" s="3">
        <f t="shared" si="2"/>
        <v>3.22</v>
      </c>
    </row>
    <row r="77" spans="1:9" x14ac:dyDescent="0.25">
      <c r="A77" s="3" t="s">
        <v>165</v>
      </c>
      <c r="B77" s="4" t="s">
        <v>166</v>
      </c>
      <c r="C77" s="3" t="s">
        <v>235</v>
      </c>
      <c r="D77" s="3" t="s">
        <v>252</v>
      </c>
      <c r="E77" s="3" t="s">
        <v>243</v>
      </c>
      <c r="F77" s="3" t="s">
        <v>239</v>
      </c>
      <c r="G77" s="3" t="s">
        <v>238</v>
      </c>
      <c r="H77" s="3" t="s">
        <v>237</v>
      </c>
      <c r="I77" s="3">
        <f t="shared" si="2"/>
        <v>2.31</v>
      </c>
    </row>
    <row r="78" spans="1:9" x14ac:dyDescent="0.25">
      <c r="A78" s="3" t="s">
        <v>167</v>
      </c>
      <c r="B78" s="4" t="s">
        <v>168</v>
      </c>
      <c r="C78" s="3" t="s">
        <v>242</v>
      </c>
      <c r="D78" s="3" t="s">
        <v>238</v>
      </c>
      <c r="E78" s="3" t="s">
        <v>236</v>
      </c>
      <c r="F78" s="3" t="s">
        <v>235</v>
      </c>
      <c r="G78" s="3" t="s">
        <v>242</v>
      </c>
      <c r="H78" s="3" t="s">
        <v>242</v>
      </c>
      <c r="I78" s="3">
        <f t="shared" si="2"/>
        <v>3.59</v>
      </c>
    </row>
    <row r="79" spans="1:9" x14ac:dyDescent="0.25">
      <c r="A79" s="3" t="s">
        <v>169</v>
      </c>
      <c r="B79" s="4" t="s">
        <v>170</v>
      </c>
      <c r="C79" s="3" t="s">
        <v>241</v>
      </c>
      <c r="D79" s="3" t="s">
        <v>238</v>
      </c>
      <c r="E79" s="3" t="s">
        <v>235</v>
      </c>
      <c r="F79" s="3" t="s">
        <v>237</v>
      </c>
      <c r="G79" s="3" t="s">
        <v>236</v>
      </c>
      <c r="H79" s="3" t="s">
        <v>242</v>
      </c>
      <c r="I79" s="3">
        <f t="shared" si="2"/>
        <v>3.43</v>
      </c>
    </row>
    <row r="80" spans="1:9" x14ac:dyDescent="0.25">
      <c r="A80" s="3" t="s">
        <v>171</v>
      </c>
      <c r="B80" s="4" t="s">
        <v>172</v>
      </c>
      <c r="C80" s="3" t="s">
        <v>241</v>
      </c>
      <c r="D80" s="3" t="s">
        <v>235</v>
      </c>
      <c r="E80" s="3" t="s">
        <v>242</v>
      </c>
      <c r="F80" s="3" t="s">
        <v>236</v>
      </c>
      <c r="G80" s="3" t="s">
        <v>241</v>
      </c>
      <c r="H80" s="3" t="s">
        <v>242</v>
      </c>
      <c r="I80" s="3">
        <f t="shared" si="2"/>
        <v>3.82</v>
      </c>
    </row>
    <row r="81" spans="1:9" x14ac:dyDescent="0.25">
      <c r="A81" s="3" t="s">
        <v>173</v>
      </c>
      <c r="B81" s="4" t="s">
        <v>174</v>
      </c>
      <c r="C81" s="3" t="s">
        <v>241</v>
      </c>
      <c r="D81" s="3" t="s">
        <v>237</v>
      </c>
      <c r="E81" s="3" t="s">
        <v>235</v>
      </c>
      <c r="F81" s="3" t="s">
        <v>237</v>
      </c>
      <c r="G81" s="3" t="s">
        <v>235</v>
      </c>
      <c r="H81" s="3" t="s">
        <v>242</v>
      </c>
      <c r="I81" s="3">
        <f t="shared" si="2"/>
        <v>3.43</v>
      </c>
    </row>
    <row r="82" spans="1:9" x14ac:dyDescent="0.25">
      <c r="A82" s="3" t="s">
        <v>175</v>
      </c>
      <c r="B82" s="4" t="s">
        <v>176</v>
      </c>
      <c r="C82" s="3" t="s">
        <v>240</v>
      </c>
      <c r="D82" s="3" t="s">
        <v>240</v>
      </c>
      <c r="E82" s="3" t="s">
        <v>240</v>
      </c>
      <c r="F82" s="3" t="s">
        <v>240</v>
      </c>
      <c r="G82" s="3" t="s">
        <v>240</v>
      </c>
      <c r="H82" s="3" t="s">
        <v>240</v>
      </c>
      <c r="I82" s="3">
        <f t="shared" si="2"/>
        <v>0</v>
      </c>
    </row>
    <row r="83" spans="1:9" x14ac:dyDescent="0.25">
      <c r="A83" s="3" t="s">
        <v>177</v>
      </c>
      <c r="B83" s="4" t="s">
        <v>178</v>
      </c>
      <c r="C83" s="3" t="s">
        <v>242</v>
      </c>
      <c r="D83" s="3" t="s">
        <v>238</v>
      </c>
      <c r="E83" s="3" t="s">
        <v>242</v>
      </c>
      <c r="F83" s="3" t="s">
        <v>243</v>
      </c>
      <c r="G83" s="3" t="s">
        <v>242</v>
      </c>
      <c r="H83" s="3" t="s">
        <v>242</v>
      </c>
      <c r="I83" s="3">
        <f t="shared" si="2"/>
        <v>3.51</v>
      </c>
    </row>
    <row r="84" spans="1:9" x14ac:dyDescent="0.25">
      <c r="A84" s="3" t="s">
        <v>179</v>
      </c>
      <c r="B84" s="4" t="s">
        <v>180</v>
      </c>
      <c r="C84" s="3" t="s">
        <v>236</v>
      </c>
      <c r="D84" s="3" t="s">
        <v>238</v>
      </c>
      <c r="E84" s="3" t="s">
        <v>236</v>
      </c>
      <c r="F84" s="3" t="s">
        <v>243</v>
      </c>
      <c r="G84" s="3" t="s">
        <v>236</v>
      </c>
      <c r="H84" s="3" t="s">
        <v>242</v>
      </c>
      <c r="I84" s="3">
        <f t="shared" si="2"/>
        <v>3.35</v>
      </c>
    </row>
    <row r="85" spans="1:9" x14ac:dyDescent="0.25">
      <c r="A85" s="3" t="s">
        <v>181</v>
      </c>
      <c r="B85" s="4" t="s">
        <v>182</v>
      </c>
      <c r="C85" s="3" t="s">
        <v>236</v>
      </c>
      <c r="D85" s="3" t="s">
        <v>237</v>
      </c>
      <c r="E85" s="3" t="s">
        <v>237</v>
      </c>
      <c r="F85" s="3" t="s">
        <v>236</v>
      </c>
      <c r="G85" s="3" t="s">
        <v>243</v>
      </c>
      <c r="H85" s="3" t="s">
        <v>241</v>
      </c>
      <c r="I85" s="3">
        <f t="shared" si="2"/>
        <v>3.27</v>
      </c>
    </row>
    <row r="86" spans="1:9" x14ac:dyDescent="0.25">
      <c r="A86" s="3" t="s">
        <v>183</v>
      </c>
      <c r="B86" s="4" t="s">
        <v>184</v>
      </c>
      <c r="C86" s="3" t="s">
        <v>242</v>
      </c>
      <c r="D86" s="3" t="s">
        <v>236</v>
      </c>
      <c r="E86" s="3" t="s">
        <v>241</v>
      </c>
      <c r="F86" s="3" t="s">
        <v>237</v>
      </c>
      <c r="G86" s="3" t="s">
        <v>236</v>
      </c>
      <c r="H86" s="3" t="s">
        <v>242</v>
      </c>
      <c r="I86" s="3">
        <f t="shared" si="2"/>
        <v>3.77</v>
      </c>
    </row>
    <row r="87" spans="1:9" x14ac:dyDescent="0.25">
      <c r="A87" s="3" t="s">
        <v>185</v>
      </c>
      <c r="B87" s="4" t="s">
        <v>186</v>
      </c>
      <c r="C87" s="3" t="s">
        <v>237</v>
      </c>
      <c r="D87" s="3" t="s">
        <v>244</v>
      </c>
      <c r="E87" s="3" t="s">
        <v>243</v>
      </c>
      <c r="F87" s="3" t="s">
        <v>244</v>
      </c>
      <c r="G87" s="3" t="s">
        <v>243</v>
      </c>
      <c r="H87" s="3" t="s">
        <v>242</v>
      </c>
      <c r="I87" s="3">
        <f t="shared" si="2"/>
        <v>2.57</v>
      </c>
    </row>
    <row r="88" spans="1:9" x14ac:dyDescent="0.25">
      <c r="A88" s="3" t="s">
        <v>187</v>
      </c>
      <c r="B88" s="4" t="s">
        <v>188</v>
      </c>
      <c r="C88" s="3" t="s">
        <v>237</v>
      </c>
      <c r="D88" s="3" t="s">
        <v>253</v>
      </c>
      <c r="E88" s="3" t="s">
        <v>243</v>
      </c>
      <c r="F88" s="3" t="s">
        <v>244</v>
      </c>
      <c r="G88" s="3" t="s">
        <v>238</v>
      </c>
      <c r="H88" s="3" t="s">
        <v>235</v>
      </c>
      <c r="I88" s="3">
        <f t="shared" si="2"/>
        <v>2.13</v>
      </c>
    </row>
    <row r="89" spans="1:9" x14ac:dyDescent="0.25">
      <c r="A89" s="3" t="s">
        <v>189</v>
      </c>
      <c r="B89" s="4" t="s">
        <v>190</v>
      </c>
      <c r="C89" s="3" t="s">
        <v>235</v>
      </c>
      <c r="D89" s="3" t="s">
        <v>244</v>
      </c>
      <c r="E89" s="3" t="s">
        <v>238</v>
      </c>
      <c r="F89" s="3" t="s">
        <v>238</v>
      </c>
      <c r="G89" s="3" t="s">
        <v>235</v>
      </c>
      <c r="H89" s="3" t="s">
        <v>238</v>
      </c>
      <c r="I89" s="3">
        <f t="shared" si="2"/>
        <v>2.76</v>
      </c>
    </row>
    <row r="90" spans="1:9" x14ac:dyDescent="0.25">
      <c r="A90" s="3" t="s">
        <v>191</v>
      </c>
      <c r="B90" s="4" t="s">
        <v>192</v>
      </c>
      <c r="C90" s="3" t="s">
        <v>240</v>
      </c>
      <c r="D90" s="3" t="s">
        <v>240</v>
      </c>
      <c r="E90" s="3" t="s">
        <v>240</v>
      </c>
      <c r="F90" s="3" t="s">
        <v>240</v>
      </c>
      <c r="G90" s="3" t="s">
        <v>240</v>
      </c>
      <c r="H90" s="3" t="s">
        <v>240</v>
      </c>
      <c r="I90" s="3">
        <f t="shared" si="2"/>
        <v>0</v>
      </c>
    </row>
    <row r="91" spans="1:9" x14ac:dyDescent="0.25">
      <c r="A91" s="3" t="s">
        <v>193</v>
      </c>
      <c r="B91" s="4" t="s">
        <v>194</v>
      </c>
      <c r="C91" s="3" t="s">
        <v>241</v>
      </c>
      <c r="D91" s="3" t="s">
        <v>243</v>
      </c>
      <c r="E91" s="3" t="s">
        <v>235</v>
      </c>
      <c r="F91" s="3" t="s">
        <v>237</v>
      </c>
      <c r="G91" s="3" t="s">
        <v>241</v>
      </c>
      <c r="H91" s="3" t="s">
        <v>242</v>
      </c>
      <c r="I91" s="3">
        <f t="shared" si="2"/>
        <v>3.39</v>
      </c>
    </row>
    <row r="92" spans="1:9" x14ac:dyDescent="0.25">
      <c r="A92" s="3" t="s">
        <v>195</v>
      </c>
      <c r="B92" s="4" t="s">
        <v>196</v>
      </c>
      <c r="C92" s="3" t="s">
        <v>237</v>
      </c>
      <c r="D92" s="3" t="s">
        <v>238</v>
      </c>
      <c r="E92" s="3" t="s">
        <v>237</v>
      </c>
      <c r="F92" s="3" t="s">
        <v>238</v>
      </c>
      <c r="G92" s="3" t="s">
        <v>237</v>
      </c>
      <c r="H92" s="3" t="s">
        <v>242</v>
      </c>
      <c r="I92" s="3">
        <f t="shared" si="2"/>
        <v>3.03</v>
      </c>
    </row>
    <row r="93" spans="1:9" x14ac:dyDescent="0.25">
      <c r="A93" s="3" t="s">
        <v>197</v>
      </c>
      <c r="B93" s="4" t="s">
        <v>198</v>
      </c>
      <c r="C93" s="3" t="s">
        <v>236</v>
      </c>
      <c r="D93" s="3" t="s">
        <v>237</v>
      </c>
      <c r="E93" s="3" t="s">
        <v>241</v>
      </c>
      <c r="F93" s="3" t="s">
        <v>235</v>
      </c>
      <c r="G93" s="3" t="s">
        <v>235</v>
      </c>
      <c r="H93" s="3" t="s">
        <v>242</v>
      </c>
      <c r="I93" s="3">
        <f t="shared" si="2"/>
        <v>3.55</v>
      </c>
    </row>
    <row r="94" spans="1:9" x14ac:dyDescent="0.25">
      <c r="A94" s="3" t="s">
        <v>199</v>
      </c>
      <c r="B94" s="4" t="s">
        <v>200</v>
      </c>
      <c r="C94" s="3" t="s">
        <v>236</v>
      </c>
      <c r="D94" s="3" t="s">
        <v>244</v>
      </c>
      <c r="E94" s="3" t="s">
        <v>237</v>
      </c>
      <c r="F94" s="3" t="s">
        <v>237</v>
      </c>
      <c r="G94" s="3" t="s">
        <v>235</v>
      </c>
      <c r="H94" s="3" t="s">
        <v>241</v>
      </c>
      <c r="I94" s="3">
        <f t="shared" si="2"/>
        <v>3.11</v>
      </c>
    </row>
    <row r="95" spans="1:9" x14ac:dyDescent="0.25">
      <c r="A95" s="3" t="s">
        <v>201</v>
      </c>
      <c r="B95" s="4" t="s">
        <v>202</v>
      </c>
      <c r="C95" s="3" t="s">
        <v>235</v>
      </c>
      <c r="D95" s="3" t="s">
        <v>243</v>
      </c>
      <c r="E95" s="3" t="s">
        <v>235</v>
      </c>
      <c r="F95" s="3" t="s">
        <v>243</v>
      </c>
      <c r="G95" s="3" t="s">
        <v>237</v>
      </c>
      <c r="H95" s="3" t="s">
        <v>242</v>
      </c>
      <c r="I95" s="3">
        <f t="shared" si="2"/>
        <v>3.02</v>
      </c>
    </row>
    <row r="96" spans="1:9" x14ac:dyDescent="0.25">
      <c r="A96" s="3" t="s">
        <v>203</v>
      </c>
      <c r="B96" s="4" t="s">
        <v>204</v>
      </c>
      <c r="C96" s="3" t="s">
        <v>241</v>
      </c>
      <c r="D96" s="3" t="s">
        <v>238</v>
      </c>
      <c r="E96" s="3" t="s">
        <v>235</v>
      </c>
      <c r="F96" s="3" t="s">
        <v>243</v>
      </c>
      <c r="G96" s="3" t="s">
        <v>237</v>
      </c>
      <c r="H96" s="3" t="s">
        <v>242</v>
      </c>
      <c r="I96" s="3">
        <f t="shared" si="2"/>
        <v>3.24</v>
      </c>
    </row>
    <row r="97" spans="1:9" x14ac:dyDescent="0.25">
      <c r="A97" s="3" t="s">
        <v>205</v>
      </c>
      <c r="B97" s="4" t="s">
        <v>206</v>
      </c>
      <c r="C97" s="3" t="s">
        <v>242</v>
      </c>
      <c r="D97" s="3" t="s">
        <v>243</v>
      </c>
      <c r="E97" s="3" t="s">
        <v>235</v>
      </c>
      <c r="F97" s="3" t="s">
        <v>235</v>
      </c>
      <c r="G97" s="3" t="s">
        <v>235</v>
      </c>
      <c r="H97" s="3" t="s">
        <v>242</v>
      </c>
      <c r="I97" s="3">
        <f t="shared" si="2"/>
        <v>3.33</v>
      </c>
    </row>
    <row r="98" spans="1:9" x14ac:dyDescent="0.25">
      <c r="A98" s="3" t="s">
        <v>207</v>
      </c>
      <c r="B98" s="4" t="s">
        <v>208</v>
      </c>
      <c r="C98" s="3" t="s">
        <v>241</v>
      </c>
      <c r="D98" s="3" t="s">
        <v>236</v>
      </c>
      <c r="E98" s="3" t="s">
        <v>241</v>
      </c>
      <c r="F98" s="3" t="s">
        <v>237</v>
      </c>
      <c r="G98" s="3" t="s">
        <v>235</v>
      </c>
      <c r="H98" s="3" t="s">
        <v>237</v>
      </c>
      <c r="I98" s="3">
        <f t="shared" si="2"/>
        <v>3.58</v>
      </c>
    </row>
    <row r="99" spans="1:9" x14ac:dyDescent="0.25">
      <c r="A99" s="3" t="s">
        <v>209</v>
      </c>
      <c r="B99" s="4" t="s">
        <v>210</v>
      </c>
      <c r="C99" s="3" t="s">
        <v>236</v>
      </c>
      <c r="D99" s="3" t="s">
        <v>243</v>
      </c>
      <c r="E99" s="3" t="s">
        <v>237</v>
      </c>
      <c r="F99" s="3" t="s">
        <v>244</v>
      </c>
      <c r="G99" s="3" t="s">
        <v>235</v>
      </c>
      <c r="H99" s="3" t="s">
        <v>242</v>
      </c>
      <c r="I99" s="3">
        <f t="shared" ref="I99:I108" si="3">IFERROR(
ROUND(
(
(IF(C99="A+", 4, IF(C99="A", 4, IF(C99="A-", 3.7, IF(C99="B+", 3.3, IF(C99="B", 3, IF(C99="B-", 2.7, IF(C99="C+", 2.3, IF(C99="C", 2, IF(C99="C-", 1.7, IF(C99="D+", 1.3, IF(C99="D", 1, IF(C99="E", 0, 0))))))))))))) * 3 +
(IF(D99="A+", 4, IF(D99="A", 4, IF(D99="A-", 3.7, IF(D99="B+", 3.3, IF(D99="B", 3, IF(D99="B-", 2.7, IF(D99="C+", 2.3, IF(D99="C", 2, IF(D99="C-", 1.7, IF(D99="D+", 1.3, IF(D99="D", 1, IF(D99="E", 0, 0))))))))))))) * 3 +
(IF(E99="A+", 4, IF(E99="A", 4, IF(E99="A-", 3.7, IF(E99="B+", 3.3, IF(E99="B", 3, IF(E99="B-", 2.7, IF(E99="C+", 2.3, IF(E99="C", 2, IF(E99="C-", 1.7, IF(E99="D+", 1.3, IF(E99="D", 1, IF(E99="E", 0, 0))))))))))))) * 3 +
(IF(F99="A+", 4, IF(F99="A", 4, IF(F99="A-", 3.7, IF(F99="B+", 3.3, IF(F99="B", 3, IF(F99="B-", 2.7, IF(F99="C+", 2.3, IF(F99="C", 2, IF(F99="C-", 1.7, IF(F99="D+", 1.3, IF(F99="D", 1, IF(F99="E", 0, 0))))))))))))) * 2 +
(IF(G99="A+", 4, IF(G99="A", 4, IF(G99="A-", 3.7, IF(G99="B+", 3.3, IF(G99="B", 3, IF(G99="B-", 2.7, IF(G99="C+", 2.3, IF(G99="C", 2, IF(G99="C-", 1.7, IF(G99="D+", 1.3, IF(G99="D", 1, IF(G99="E", 0, 0))))))))))))) * 2 +
(IF(H99="A+", 4, IF(H99="A", 4, IF(H99="A-", 3.7, IF(H99="B+", 3.3, IF(H99="B", 3, IF(H99="B-", 2.7, IF(H99="C+", 2.3, IF(H99="C", 2, IF(H99="C-", 1.7, IF(H99="D+", 1.3, IF(H99="D", 1, IF(H99="E", 0, 0))))))))))))) *
2) /
(3 + 3 + 3 + 2 + 2 + 2),
2),
0)</f>
        <v>3.04</v>
      </c>
    </row>
    <row r="100" spans="1:9" x14ac:dyDescent="0.25">
      <c r="A100" s="3" t="s">
        <v>211</v>
      </c>
      <c r="B100" s="4" t="s">
        <v>212</v>
      </c>
      <c r="C100" s="3" t="s">
        <v>236</v>
      </c>
      <c r="D100" s="3" t="s">
        <v>243</v>
      </c>
      <c r="E100" s="3" t="s">
        <v>235</v>
      </c>
      <c r="F100" s="3" t="s">
        <v>238</v>
      </c>
      <c r="G100" s="3" t="s">
        <v>235</v>
      </c>
      <c r="H100" s="3" t="s">
        <v>242</v>
      </c>
      <c r="I100" s="3">
        <f t="shared" si="3"/>
        <v>3.19</v>
      </c>
    </row>
    <row r="101" spans="1:9" x14ac:dyDescent="0.25">
      <c r="A101" s="3" t="s">
        <v>213</v>
      </c>
      <c r="B101" s="4" t="s">
        <v>214</v>
      </c>
      <c r="C101" s="3" t="s">
        <v>242</v>
      </c>
      <c r="D101" s="3" t="s">
        <v>236</v>
      </c>
      <c r="E101" s="3" t="s">
        <v>236</v>
      </c>
      <c r="F101" s="3" t="s">
        <v>235</v>
      </c>
      <c r="G101" s="3" t="s">
        <v>236</v>
      </c>
      <c r="H101" s="3" t="s">
        <v>241</v>
      </c>
      <c r="I101" s="3">
        <f t="shared" si="3"/>
        <v>3.75</v>
      </c>
    </row>
    <row r="102" spans="1:9" x14ac:dyDescent="0.25">
      <c r="A102" s="3" t="s">
        <v>215</v>
      </c>
      <c r="B102" s="4" t="s">
        <v>216</v>
      </c>
      <c r="C102" s="3" t="s">
        <v>236</v>
      </c>
      <c r="D102" s="3" t="s">
        <v>239</v>
      </c>
      <c r="E102" s="22" t="s">
        <v>237</v>
      </c>
      <c r="F102" s="3" t="s">
        <v>244</v>
      </c>
      <c r="G102" s="3" t="s">
        <v>237</v>
      </c>
      <c r="H102" s="3" t="s">
        <v>241</v>
      </c>
      <c r="I102" s="3">
        <f t="shared" si="3"/>
        <v>2.88</v>
      </c>
    </row>
    <row r="103" spans="1:9" x14ac:dyDescent="0.25">
      <c r="A103" s="3" t="s">
        <v>217</v>
      </c>
      <c r="B103" s="4" t="s">
        <v>218</v>
      </c>
      <c r="C103" s="3" t="s">
        <v>236</v>
      </c>
      <c r="D103" s="3" t="s">
        <v>238</v>
      </c>
      <c r="E103" s="3" t="s">
        <v>237</v>
      </c>
      <c r="F103" s="3" t="s">
        <v>238</v>
      </c>
      <c r="G103" s="3" t="s">
        <v>236</v>
      </c>
      <c r="H103" s="3" t="s">
        <v>242</v>
      </c>
      <c r="I103" s="3">
        <f t="shared" si="3"/>
        <v>3.27</v>
      </c>
    </row>
    <row r="104" spans="1:9" x14ac:dyDescent="0.25">
      <c r="A104" s="3" t="s">
        <v>219</v>
      </c>
      <c r="B104" s="4" t="s">
        <v>220</v>
      </c>
      <c r="C104" s="3" t="s">
        <v>235</v>
      </c>
      <c r="D104" s="3" t="s">
        <v>244</v>
      </c>
      <c r="E104" s="3" t="s">
        <v>235</v>
      </c>
      <c r="F104" s="3" t="s">
        <v>238</v>
      </c>
      <c r="G104" s="3" t="s">
        <v>235</v>
      </c>
      <c r="H104" s="3" t="s">
        <v>242</v>
      </c>
      <c r="I104" s="3">
        <f t="shared" si="3"/>
        <v>3.05</v>
      </c>
    </row>
    <row r="105" spans="1:9" x14ac:dyDescent="0.25">
      <c r="A105" s="3" t="s">
        <v>221</v>
      </c>
      <c r="B105" s="4" t="s">
        <v>222</v>
      </c>
      <c r="C105" s="3" t="s">
        <v>242</v>
      </c>
      <c r="D105" s="3" t="s">
        <v>241</v>
      </c>
      <c r="E105" s="3" t="s">
        <v>241</v>
      </c>
      <c r="F105" s="3" t="s">
        <v>236</v>
      </c>
      <c r="G105" s="3" t="s">
        <v>241</v>
      </c>
      <c r="H105" s="3" t="s">
        <v>242</v>
      </c>
      <c r="I105" s="3">
        <f t="shared" si="3"/>
        <v>3.96</v>
      </c>
    </row>
    <row r="106" spans="1:9" x14ac:dyDescent="0.25">
      <c r="A106" s="3" t="s">
        <v>223</v>
      </c>
      <c r="B106" s="4" t="s">
        <v>224</v>
      </c>
      <c r="C106" s="3" t="s">
        <v>236</v>
      </c>
      <c r="D106" s="3" t="s">
        <v>244</v>
      </c>
      <c r="E106" s="3" t="s">
        <v>238</v>
      </c>
      <c r="F106" s="3" t="s">
        <v>243</v>
      </c>
      <c r="G106" s="3" t="s">
        <v>235</v>
      </c>
      <c r="H106" s="3" t="s">
        <v>236</v>
      </c>
      <c r="I106" s="3">
        <f t="shared" si="3"/>
        <v>2.92</v>
      </c>
    </row>
    <row r="107" spans="1:9" x14ac:dyDescent="0.25">
      <c r="A107" s="3" t="s">
        <v>225</v>
      </c>
      <c r="B107" s="4" t="s">
        <v>226</v>
      </c>
      <c r="C107" s="3" t="s">
        <v>235</v>
      </c>
      <c r="D107" s="3" t="s">
        <v>235</v>
      </c>
      <c r="E107" s="3" t="s">
        <v>235</v>
      </c>
      <c r="F107" s="3" t="s">
        <v>236</v>
      </c>
      <c r="G107" s="3" t="s">
        <v>238</v>
      </c>
      <c r="H107" s="3" t="s">
        <v>241</v>
      </c>
      <c r="I107" s="3">
        <f t="shared" si="3"/>
        <v>3.37</v>
      </c>
    </row>
    <row r="108" spans="1:9" x14ac:dyDescent="0.25">
      <c r="A108" s="3" t="s">
        <v>227</v>
      </c>
      <c r="B108" s="4" t="s">
        <v>228</v>
      </c>
      <c r="C108" s="3" t="s">
        <v>236</v>
      </c>
      <c r="D108" s="3" t="s">
        <v>243</v>
      </c>
      <c r="E108" s="3" t="s">
        <v>237</v>
      </c>
      <c r="F108" s="3" t="s">
        <v>243</v>
      </c>
      <c r="G108" s="3" t="s">
        <v>237</v>
      </c>
      <c r="H108" s="3" t="s">
        <v>241</v>
      </c>
      <c r="I108" s="3">
        <f t="shared" si="3"/>
        <v>3.04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2"/>
  <sheetViews>
    <sheetView topLeftCell="A12" zoomScale="84" zoomScaleNormal="84" workbookViewId="0">
      <selection sqref="A1:C52"/>
    </sheetView>
  </sheetViews>
  <sheetFormatPr defaultRowHeight="15" x14ac:dyDescent="0.25"/>
  <cols>
    <col min="1" max="1" width="21.7109375" customWidth="1"/>
    <col min="2" max="2" width="33.140625" customWidth="1"/>
    <col min="16" max="16" width="26.7109375" customWidth="1"/>
  </cols>
  <sheetData>
    <row r="1" spans="1:15" ht="77.25" customHeight="1" thickBot="1" x14ac:dyDescent="0.3">
      <c r="A1" s="1" t="s">
        <v>0</v>
      </c>
      <c r="B1" s="2" t="s">
        <v>1</v>
      </c>
      <c r="C1" s="9" t="s">
        <v>283</v>
      </c>
      <c r="D1" s="10" t="s">
        <v>284</v>
      </c>
      <c r="E1" s="10" t="s">
        <v>285</v>
      </c>
      <c r="F1" s="10" t="s">
        <v>286</v>
      </c>
      <c r="G1" s="10" t="s">
        <v>287</v>
      </c>
      <c r="H1" s="10" t="s">
        <v>288</v>
      </c>
      <c r="I1" s="11" t="s">
        <v>289</v>
      </c>
      <c r="J1" s="11" t="s">
        <v>290</v>
      </c>
      <c r="K1" s="11" t="s">
        <v>291</v>
      </c>
      <c r="L1" s="11" t="s">
        <v>292</v>
      </c>
      <c r="M1" s="11" t="s">
        <v>293</v>
      </c>
      <c r="N1" s="11" t="s">
        <v>294</v>
      </c>
      <c r="O1" s="12" t="s">
        <v>234</v>
      </c>
    </row>
    <row r="2" spans="1:15" x14ac:dyDescent="0.25">
      <c r="A2" s="3" t="s">
        <v>19</v>
      </c>
      <c r="B2" s="4" t="s">
        <v>20</v>
      </c>
      <c r="C2" s="14" t="s">
        <v>295</v>
      </c>
      <c r="D2" s="15" t="s">
        <v>236</v>
      </c>
      <c r="E2" s="16" t="s">
        <v>235</v>
      </c>
      <c r="F2" s="16" t="s">
        <v>238</v>
      </c>
      <c r="G2" s="16" t="s">
        <v>235</v>
      </c>
      <c r="H2" s="17" t="s">
        <v>243</v>
      </c>
      <c r="I2" s="16" t="s">
        <v>235</v>
      </c>
      <c r="J2" s="16" t="s">
        <v>238</v>
      </c>
      <c r="K2" s="15" t="s">
        <v>242</v>
      </c>
      <c r="L2" s="16" t="s">
        <v>238</v>
      </c>
      <c r="M2" s="13"/>
      <c r="N2" s="16" t="s">
        <v>235</v>
      </c>
      <c r="O2" s="18">
        <v>3.11</v>
      </c>
    </row>
    <row r="3" spans="1:15" x14ac:dyDescent="0.25">
      <c r="A3" s="3" t="s">
        <v>23</v>
      </c>
      <c r="B3" s="4" t="s">
        <v>24</v>
      </c>
      <c r="C3" s="20" t="s">
        <v>296</v>
      </c>
      <c r="D3" s="15" t="s">
        <v>241</v>
      </c>
      <c r="E3" s="15" t="s">
        <v>236</v>
      </c>
      <c r="F3" s="16" t="s">
        <v>237</v>
      </c>
      <c r="G3" s="16" t="s">
        <v>235</v>
      </c>
      <c r="H3" s="16" t="s">
        <v>235</v>
      </c>
      <c r="I3" s="15" t="s">
        <v>236</v>
      </c>
      <c r="J3" s="19"/>
      <c r="K3" s="15" t="s">
        <v>242</v>
      </c>
      <c r="L3" s="15" t="s">
        <v>241</v>
      </c>
      <c r="M3" s="15" t="s">
        <v>242</v>
      </c>
      <c r="N3" s="15" t="s">
        <v>242</v>
      </c>
      <c r="O3" s="18">
        <v>3.67</v>
      </c>
    </row>
    <row r="4" spans="1:15" x14ac:dyDescent="0.25">
      <c r="A4" s="3" t="s">
        <v>25</v>
      </c>
      <c r="B4" s="4" t="s">
        <v>26</v>
      </c>
      <c r="C4" s="14" t="s">
        <v>297</v>
      </c>
      <c r="D4" s="16" t="s">
        <v>235</v>
      </c>
      <c r="E4" s="15" t="s">
        <v>236</v>
      </c>
      <c r="F4" s="16" t="s">
        <v>235</v>
      </c>
      <c r="G4" s="16" t="s">
        <v>235</v>
      </c>
      <c r="H4" s="16" t="s">
        <v>235</v>
      </c>
      <c r="I4" s="15" t="s">
        <v>241</v>
      </c>
      <c r="J4" s="16" t="s">
        <v>237</v>
      </c>
      <c r="K4" s="15" t="s">
        <v>241</v>
      </c>
      <c r="L4" s="15" t="s">
        <v>241</v>
      </c>
      <c r="M4" s="13"/>
      <c r="N4" s="15" t="s">
        <v>242</v>
      </c>
      <c r="O4" s="18">
        <v>3.56</v>
      </c>
    </row>
    <row r="5" spans="1:15" x14ac:dyDescent="0.25">
      <c r="A5" s="3" t="s">
        <v>33</v>
      </c>
      <c r="B5" s="4" t="s">
        <v>34</v>
      </c>
      <c r="C5" s="20" t="s">
        <v>298</v>
      </c>
      <c r="D5" s="16" t="s">
        <v>235</v>
      </c>
      <c r="E5" s="15" t="s">
        <v>236</v>
      </c>
      <c r="F5" s="16" t="s">
        <v>235</v>
      </c>
      <c r="G5" s="16" t="s">
        <v>235</v>
      </c>
      <c r="H5" s="16" t="s">
        <v>238</v>
      </c>
      <c r="I5" s="15" t="s">
        <v>236</v>
      </c>
      <c r="J5" s="19"/>
      <c r="K5" s="15" t="s">
        <v>241</v>
      </c>
      <c r="L5" s="15" t="s">
        <v>241</v>
      </c>
      <c r="M5" s="16" t="s">
        <v>235</v>
      </c>
      <c r="N5" s="15" t="s">
        <v>242</v>
      </c>
      <c r="O5" s="18">
        <v>3.48</v>
      </c>
    </row>
    <row r="6" spans="1:15" x14ac:dyDescent="0.25">
      <c r="A6" s="3" t="s">
        <v>37</v>
      </c>
      <c r="B6" s="4" t="s">
        <v>38</v>
      </c>
      <c r="C6" s="14" t="s">
        <v>299</v>
      </c>
      <c r="D6" s="15" t="s">
        <v>236</v>
      </c>
      <c r="E6" s="15" t="s">
        <v>242</v>
      </c>
      <c r="F6" s="16" t="s">
        <v>235</v>
      </c>
      <c r="G6" s="15" t="s">
        <v>236</v>
      </c>
      <c r="H6" s="16" t="s">
        <v>237</v>
      </c>
      <c r="I6" s="15" t="s">
        <v>241</v>
      </c>
      <c r="J6" s="16" t="s">
        <v>237</v>
      </c>
      <c r="K6" s="15" t="s">
        <v>241</v>
      </c>
      <c r="L6" s="15" t="s">
        <v>241</v>
      </c>
      <c r="M6" s="13"/>
      <c r="N6" s="15" t="s">
        <v>242</v>
      </c>
      <c r="O6" s="18">
        <v>3.64</v>
      </c>
    </row>
    <row r="7" spans="1:15" x14ac:dyDescent="0.25">
      <c r="A7" s="3" t="s">
        <v>39</v>
      </c>
      <c r="B7" s="4" t="s">
        <v>40</v>
      </c>
      <c r="C7" s="20" t="s">
        <v>300</v>
      </c>
      <c r="D7" s="15" t="s">
        <v>242</v>
      </c>
      <c r="E7" s="15" t="s">
        <v>241</v>
      </c>
      <c r="F7" s="16" t="s">
        <v>235</v>
      </c>
      <c r="G7" s="16" t="s">
        <v>235</v>
      </c>
      <c r="H7" s="16" t="s">
        <v>238</v>
      </c>
      <c r="I7" s="15" t="s">
        <v>242</v>
      </c>
      <c r="J7" s="16" t="s">
        <v>237</v>
      </c>
      <c r="K7" s="16" t="s">
        <v>235</v>
      </c>
      <c r="L7" s="16" t="s">
        <v>237</v>
      </c>
      <c r="M7" s="19"/>
      <c r="N7" s="15" t="s">
        <v>242</v>
      </c>
      <c r="O7" s="18">
        <v>3.47</v>
      </c>
    </row>
    <row r="8" spans="1:15" x14ac:dyDescent="0.25">
      <c r="A8" s="3" t="s">
        <v>41</v>
      </c>
      <c r="B8" s="4" t="s">
        <v>275</v>
      </c>
      <c r="C8" s="14" t="s">
        <v>301</v>
      </c>
      <c r="D8" s="16" t="s">
        <v>237</v>
      </c>
      <c r="E8" s="15" t="s">
        <v>241</v>
      </c>
      <c r="F8" s="16" t="s">
        <v>238</v>
      </c>
      <c r="G8" s="16" t="s">
        <v>238</v>
      </c>
      <c r="H8" s="16" t="s">
        <v>235</v>
      </c>
      <c r="I8" s="15" t="s">
        <v>236</v>
      </c>
      <c r="J8" s="15" t="s">
        <v>242</v>
      </c>
      <c r="K8" s="16" t="s">
        <v>237</v>
      </c>
      <c r="L8" s="15" t="s">
        <v>236</v>
      </c>
      <c r="M8" s="13"/>
      <c r="N8" s="15" t="s">
        <v>242</v>
      </c>
      <c r="O8" s="18">
        <v>3.38</v>
      </c>
    </row>
    <row r="9" spans="1:15" x14ac:dyDescent="0.25">
      <c r="A9" s="3" t="s">
        <v>45</v>
      </c>
      <c r="B9" s="4" t="s">
        <v>46</v>
      </c>
      <c r="C9" s="20" t="s">
        <v>302</v>
      </c>
      <c r="D9" s="15" t="s">
        <v>241</v>
      </c>
      <c r="E9" s="16" t="s">
        <v>235</v>
      </c>
      <c r="F9" s="16" t="s">
        <v>237</v>
      </c>
      <c r="G9" s="16" t="s">
        <v>235</v>
      </c>
      <c r="H9" s="15" t="s">
        <v>241</v>
      </c>
      <c r="I9" s="15" t="s">
        <v>242</v>
      </c>
      <c r="J9" s="19"/>
      <c r="K9" s="15" t="s">
        <v>236</v>
      </c>
      <c r="L9" s="15" t="s">
        <v>236</v>
      </c>
      <c r="M9" s="16" t="s">
        <v>237</v>
      </c>
      <c r="N9" s="15" t="s">
        <v>241</v>
      </c>
      <c r="O9" s="18">
        <v>3.6</v>
      </c>
    </row>
    <row r="10" spans="1:15" x14ac:dyDescent="0.25">
      <c r="A10" s="3" t="s">
        <v>47</v>
      </c>
      <c r="B10" s="4" t="s">
        <v>48</v>
      </c>
      <c r="C10" s="14" t="s">
        <v>303</v>
      </c>
      <c r="D10" s="15" t="s">
        <v>242</v>
      </c>
      <c r="E10" s="15" t="s">
        <v>236</v>
      </c>
      <c r="F10" s="16" t="s">
        <v>235</v>
      </c>
      <c r="G10" s="16" t="s">
        <v>235</v>
      </c>
      <c r="H10" s="16" t="s">
        <v>235</v>
      </c>
      <c r="I10" s="15" t="s">
        <v>241</v>
      </c>
      <c r="J10" s="15" t="s">
        <v>242</v>
      </c>
      <c r="K10" s="15" t="s">
        <v>242</v>
      </c>
      <c r="L10" s="15" t="s">
        <v>241</v>
      </c>
      <c r="M10" s="13"/>
      <c r="N10" s="15" t="s">
        <v>242</v>
      </c>
      <c r="O10" s="21">
        <v>3.73</v>
      </c>
    </row>
    <row r="11" spans="1:15" x14ac:dyDescent="0.25">
      <c r="A11" s="3" t="s">
        <v>51</v>
      </c>
      <c r="B11" s="4" t="s">
        <v>52</v>
      </c>
      <c r="C11" s="20" t="s">
        <v>304</v>
      </c>
      <c r="D11" s="16" t="s">
        <v>237</v>
      </c>
      <c r="E11" s="16" t="s">
        <v>235</v>
      </c>
      <c r="F11" s="16" t="s">
        <v>237</v>
      </c>
      <c r="G11" s="16" t="s">
        <v>235</v>
      </c>
      <c r="H11" s="16" t="s">
        <v>235</v>
      </c>
      <c r="I11" s="15" t="s">
        <v>241</v>
      </c>
      <c r="J11" s="19"/>
      <c r="K11" s="15" t="s">
        <v>241</v>
      </c>
      <c r="L11" s="15" t="s">
        <v>241</v>
      </c>
      <c r="M11" s="15" t="s">
        <v>242</v>
      </c>
      <c r="N11" s="15" t="s">
        <v>242</v>
      </c>
      <c r="O11" s="18">
        <v>3.52</v>
      </c>
    </row>
    <row r="12" spans="1:15" x14ac:dyDescent="0.25">
      <c r="A12" s="22" t="s">
        <v>53</v>
      </c>
      <c r="B12" s="4" t="s">
        <v>54</v>
      </c>
      <c r="C12" s="14" t="s">
        <v>305</v>
      </c>
      <c r="D12" s="15" t="s">
        <v>242</v>
      </c>
      <c r="E12" s="15" t="s">
        <v>242</v>
      </c>
      <c r="F12" s="15" t="s">
        <v>236</v>
      </c>
      <c r="G12" s="15" t="s">
        <v>236</v>
      </c>
      <c r="H12" s="16" t="s">
        <v>237</v>
      </c>
      <c r="I12" s="15" t="s">
        <v>241</v>
      </c>
      <c r="J12" s="15" t="s">
        <v>241</v>
      </c>
      <c r="K12" s="15" t="s">
        <v>242</v>
      </c>
      <c r="L12" s="16" t="s">
        <v>237</v>
      </c>
      <c r="M12" s="15" t="s">
        <v>236</v>
      </c>
      <c r="N12" s="13"/>
      <c r="O12" s="21">
        <v>3.7</v>
      </c>
    </row>
    <row r="13" spans="1:15" x14ac:dyDescent="0.25">
      <c r="A13" s="3" t="s">
        <v>67</v>
      </c>
      <c r="B13" s="4" t="s">
        <v>68</v>
      </c>
      <c r="C13" s="20" t="s">
        <v>306</v>
      </c>
      <c r="D13" s="15" t="s">
        <v>241</v>
      </c>
      <c r="E13" s="15" t="s">
        <v>242</v>
      </c>
      <c r="F13" s="15" t="s">
        <v>236</v>
      </c>
      <c r="G13" s="15" t="s">
        <v>236</v>
      </c>
      <c r="H13" s="15" t="s">
        <v>236</v>
      </c>
      <c r="I13" s="15" t="s">
        <v>242</v>
      </c>
      <c r="J13" s="15" t="s">
        <v>241</v>
      </c>
      <c r="K13" s="15" t="s">
        <v>242</v>
      </c>
      <c r="L13" s="15" t="s">
        <v>242</v>
      </c>
      <c r="M13" s="15" t="s">
        <v>241</v>
      </c>
      <c r="N13" s="19"/>
      <c r="O13" s="21">
        <v>3.9</v>
      </c>
    </row>
    <row r="14" spans="1:15" x14ac:dyDescent="0.25">
      <c r="A14" s="3" t="s">
        <v>69</v>
      </c>
      <c r="B14" s="4" t="s">
        <v>70</v>
      </c>
      <c r="C14" s="14" t="s">
        <v>307</v>
      </c>
      <c r="D14" s="15" t="s">
        <v>241</v>
      </c>
      <c r="E14" s="15" t="s">
        <v>241</v>
      </c>
      <c r="F14" s="16" t="s">
        <v>235</v>
      </c>
      <c r="G14" s="15" t="s">
        <v>236</v>
      </c>
      <c r="H14" s="15" t="s">
        <v>236</v>
      </c>
      <c r="I14" s="15" t="s">
        <v>242</v>
      </c>
      <c r="J14" s="13"/>
      <c r="K14" s="15" t="s">
        <v>242</v>
      </c>
      <c r="L14" s="15" t="s">
        <v>241</v>
      </c>
      <c r="M14" s="16" t="s">
        <v>235</v>
      </c>
      <c r="N14" s="15" t="s">
        <v>242</v>
      </c>
      <c r="O14" s="21">
        <v>3.79</v>
      </c>
    </row>
    <row r="15" spans="1:15" x14ac:dyDescent="0.25">
      <c r="A15" s="3" t="s">
        <v>71</v>
      </c>
      <c r="B15" s="4" t="s">
        <v>72</v>
      </c>
      <c r="C15" s="20" t="s">
        <v>308</v>
      </c>
      <c r="D15" s="15" t="s">
        <v>236</v>
      </c>
      <c r="E15" s="15" t="s">
        <v>241</v>
      </c>
      <c r="F15" s="16" t="s">
        <v>235</v>
      </c>
      <c r="G15" s="16" t="s">
        <v>238</v>
      </c>
      <c r="H15" s="16" t="s">
        <v>237</v>
      </c>
      <c r="I15" s="16" t="s">
        <v>235</v>
      </c>
      <c r="J15" s="15" t="s">
        <v>236</v>
      </c>
      <c r="K15" s="15" t="s">
        <v>242</v>
      </c>
      <c r="L15" s="15" t="s">
        <v>241</v>
      </c>
      <c r="M15" s="16" t="s">
        <v>235</v>
      </c>
      <c r="N15" s="19"/>
      <c r="O15" s="18">
        <v>3.5</v>
      </c>
    </row>
    <row r="16" spans="1:15" x14ac:dyDescent="0.25">
      <c r="A16" s="3" t="s">
        <v>77</v>
      </c>
      <c r="B16" s="4" t="s">
        <v>78</v>
      </c>
      <c r="C16" s="14" t="s">
        <v>309</v>
      </c>
      <c r="D16" s="15" t="s">
        <v>241</v>
      </c>
      <c r="E16" s="15" t="s">
        <v>236</v>
      </c>
      <c r="F16" s="16" t="s">
        <v>237</v>
      </c>
      <c r="G16" s="17" t="s">
        <v>244</v>
      </c>
      <c r="H16" s="17" t="s">
        <v>244</v>
      </c>
      <c r="I16" s="15" t="s">
        <v>236</v>
      </c>
      <c r="J16" s="16" t="s">
        <v>237</v>
      </c>
      <c r="K16" s="16" t="s">
        <v>235</v>
      </c>
      <c r="L16" s="16" t="s">
        <v>235</v>
      </c>
      <c r="M16" s="13"/>
      <c r="N16" s="15" t="s">
        <v>236</v>
      </c>
      <c r="O16" s="18">
        <v>3.17</v>
      </c>
    </row>
    <row r="17" spans="1:15" x14ac:dyDescent="0.25">
      <c r="A17" s="3" t="s">
        <v>81</v>
      </c>
      <c r="B17" s="4" t="s">
        <v>82</v>
      </c>
      <c r="C17" s="20" t="s">
        <v>310</v>
      </c>
      <c r="D17" s="15" t="s">
        <v>242</v>
      </c>
      <c r="E17" s="16" t="s">
        <v>235</v>
      </c>
      <c r="F17" s="16" t="s">
        <v>237</v>
      </c>
      <c r="G17" s="15" t="s">
        <v>236</v>
      </c>
      <c r="H17" s="16" t="s">
        <v>237</v>
      </c>
      <c r="I17" s="15" t="s">
        <v>242</v>
      </c>
      <c r="J17" s="19"/>
      <c r="K17" s="15" t="s">
        <v>236</v>
      </c>
      <c r="L17" s="15" t="s">
        <v>242</v>
      </c>
      <c r="M17" s="15" t="s">
        <v>242</v>
      </c>
      <c r="N17" s="15" t="s">
        <v>242</v>
      </c>
      <c r="O17" s="18">
        <v>3.61</v>
      </c>
    </row>
    <row r="18" spans="1:15" x14ac:dyDescent="0.25">
      <c r="A18" s="3" t="s">
        <v>85</v>
      </c>
      <c r="B18" s="4" t="s">
        <v>86</v>
      </c>
      <c r="C18" s="14" t="s">
        <v>311</v>
      </c>
      <c r="D18" s="15" t="s">
        <v>236</v>
      </c>
      <c r="E18" s="15" t="s">
        <v>242</v>
      </c>
      <c r="F18" s="16" t="s">
        <v>237</v>
      </c>
      <c r="G18" s="16" t="s">
        <v>235</v>
      </c>
      <c r="H18" s="16" t="s">
        <v>237</v>
      </c>
      <c r="I18" s="15" t="s">
        <v>241</v>
      </c>
      <c r="J18" s="13"/>
      <c r="K18" s="16" t="s">
        <v>237</v>
      </c>
      <c r="L18" s="15" t="s">
        <v>242</v>
      </c>
      <c r="M18" s="15" t="s">
        <v>242</v>
      </c>
      <c r="N18" s="15" t="s">
        <v>242</v>
      </c>
      <c r="O18" s="18">
        <v>3.57</v>
      </c>
    </row>
    <row r="19" spans="1:15" x14ac:dyDescent="0.25">
      <c r="A19" s="3" t="s">
        <v>89</v>
      </c>
      <c r="B19" s="4" t="s">
        <v>90</v>
      </c>
      <c r="C19" s="20" t="s">
        <v>312</v>
      </c>
      <c r="D19" s="15" t="s">
        <v>236</v>
      </c>
      <c r="E19" s="15" t="s">
        <v>241</v>
      </c>
      <c r="F19" s="16" t="s">
        <v>235</v>
      </c>
      <c r="G19" s="17" t="s">
        <v>243</v>
      </c>
      <c r="H19" s="15" t="s">
        <v>236</v>
      </c>
      <c r="I19" s="16" t="s">
        <v>235</v>
      </c>
      <c r="J19" s="16" t="s">
        <v>235</v>
      </c>
      <c r="K19" s="16" t="s">
        <v>235</v>
      </c>
      <c r="L19" s="16" t="s">
        <v>235</v>
      </c>
      <c r="M19" s="19"/>
      <c r="N19" s="15" t="s">
        <v>242</v>
      </c>
      <c r="O19" s="18">
        <v>3.46</v>
      </c>
    </row>
    <row r="20" spans="1:15" x14ac:dyDescent="0.25">
      <c r="A20" s="3" t="s">
        <v>91</v>
      </c>
      <c r="B20" s="4" t="s">
        <v>92</v>
      </c>
      <c r="C20" s="14" t="s">
        <v>313</v>
      </c>
      <c r="D20" s="15" t="s">
        <v>241</v>
      </c>
      <c r="E20" s="16" t="s">
        <v>235</v>
      </c>
      <c r="F20" s="16" t="s">
        <v>237</v>
      </c>
      <c r="G20" s="16" t="s">
        <v>235</v>
      </c>
      <c r="H20" s="16" t="s">
        <v>235</v>
      </c>
      <c r="I20" s="15" t="s">
        <v>242</v>
      </c>
      <c r="J20" s="13"/>
      <c r="K20" s="15" t="s">
        <v>242</v>
      </c>
      <c r="L20" s="16" t="s">
        <v>235</v>
      </c>
      <c r="M20" s="15" t="s">
        <v>241</v>
      </c>
      <c r="N20" s="15" t="s">
        <v>241</v>
      </c>
      <c r="O20" s="18">
        <v>3.58</v>
      </c>
    </row>
    <row r="21" spans="1:15" x14ac:dyDescent="0.25">
      <c r="A21" s="3" t="s">
        <v>93</v>
      </c>
      <c r="B21" s="4" t="s">
        <v>94</v>
      </c>
      <c r="C21" s="20" t="s">
        <v>314</v>
      </c>
      <c r="D21" s="15" t="s">
        <v>236</v>
      </c>
      <c r="E21" s="16" t="s">
        <v>235</v>
      </c>
      <c r="F21" s="16" t="s">
        <v>238</v>
      </c>
      <c r="G21" s="16" t="s">
        <v>237</v>
      </c>
      <c r="H21" s="16" t="s">
        <v>235</v>
      </c>
      <c r="I21" s="15" t="s">
        <v>236</v>
      </c>
      <c r="J21" s="19"/>
      <c r="K21" s="16" t="s">
        <v>237</v>
      </c>
      <c r="L21" s="17" t="s">
        <v>243</v>
      </c>
      <c r="M21" s="15" t="s">
        <v>236</v>
      </c>
      <c r="N21" s="15" t="s">
        <v>241</v>
      </c>
      <c r="O21" s="18">
        <v>3.27</v>
      </c>
    </row>
    <row r="22" spans="1:15" x14ac:dyDescent="0.25">
      <c r="A22" s="3" t="s">
        <v>95</v>
      </c>
      <c r="B22" s="4" t="s">
        <v>96</v>
      </c>
      <c r="C22" s="14" t="s">
        <v>315</v>
      </c>
      <c r="D22" s="15" t="s">
        <v>236</v>
      </c>
      <c r="E22" s="16" t="s">
        <v>235</v>
      </c>
      <c r="F22" s="16" t="s">
        <v>238</v>
      </c>
      <c r="G22" s="16" t="s">
        <v>237</v>
      </c>
      <c r="H22" s="15" t="s">
        <v>236</v>
      </c>
      <c r="I22" s="15" t="s">
        <v>241</v>
      </c>
      <c r="J22" s="13"/>
      <c r="K22" s="15" t="s">
        <v>236</v>
      </c>
      <c r="L22" s="15" t="s">
        <v>236</v>
      </c>
      <c r="M22" s="15" t="s">
        <v>236</v>
      </c>
      <c r="N22" s="16" t="s">
        <v>235</v>
      </c>
      <c r="O22" s="18">
        <v>3.46</v>
      </c>
    </row>
    <row r="23" spans="1:15" x14ac:dyDescent="0.25">
      <c r="A23" s="3" t="s">
        <v>97</v>
      </c>
      <c r="B23" s="4" t="s">
        <v>98</v>
      </c>
      <c r="C23" s="20" t="s">
        <v>316</v>
      </c>
      <c r="D23" s="15" t="s">
        <v>241</v>
      </c>
      <c r="E23" s="15" t="s">
        <v>241</v>
      </c>
      <c r="F23" s="16" t="s">
        <v>235</v>
      </c>
      <c r="G23" s="15" t="s">
        <v>242</v>
      </c>
      <c r="H23" s="15" t="s">
        <v>236</v>
      </c>
      <c r="I23" s="15" t="s">
        <v>241</v>
      </c>
      <c r="J23" s="19"/>
      <c r="K23" s="15" t="s">
        <v>242</v>
      </c>
      <c r="L23" s="15" t="s">
        <v>241</v>
      </c>
      <c r="M23" s="15" t="s">
        <v>242</v>
      </c>
      <c r="N23" s="15" t="s">
        <v>242</v>
      </c>
      <c r="O23" s="21">
        <v>3.88</v>
      </c>
    </row>
    <row r="24" spans="1:15" x14ac:dyDescent="0.25">
      <c r="A24" s="3" t="s">
        <v>99</v>
      </c>
      <c r="B24" s="4" t="s">
        <v>100</v>
      </c>
      <c r="C24" s="14" t="s">
        <v>317</v>
      </c>
      <c r="D24" s="15" t="s">
        <v>241</v>
      </c>
      <c r="E24" s="15" t="s">
        <v>241</v>
      </c>
      <c r="F24" s="15" t="s">
        <v>236</v>
      </c>
      <c r="G24" s="15" t="s">
        <v>236</v>
      </c>
      <c r="H24" s="16" t="s">
        <v>237</v>
      </c>
      <c r="I24" s="15" t="s">
        <v>242</v>
      </c>
      <c r="J24" s="13"/>
      <c r="K24" s="15" t="s">
        <v>242</v>
      </c>
      <c r="L24" s="15" t="s">
        <v>242</v>
      </c>
      <c r="M24" s="16" t="s">
        <v>235</v>
      </c>
      <c r="N24" s="15" t="s">
        <v>242</v>
      </c>
      <c r="O24" s="21">
        <v>3.75</v>
      </c>
    </row>
    <row r="25" spans="1:15" x14ac:dyDescent="0.25">
      <c r="A25" s="3" t="s">
        <v>101</v>
      </c>
      <c r="B25" s="4" t="s">
        <v>102</v>
      </c>
      <c r="C25" s="20" t="s">
        <v>318</v>
      </c>
      <c r="D25" s="15" t="s">
        <v>242</v>
      </c>
      <c r="E25" s="15" t="s">
        <v>236</v>
      </c>
      <c r="F25" s="15" t="s">
        <v>236</v>
      </c>
      <c r="G25" s="16" t="s">
        <v>237</v>
      </c>
      <c r="H25" s="16" t="s">
        <v>235</v>
      </c>
      <c r="I25" s="15" t="s">
        <v>241</v>
      </c>
      <c r="J25" s="19"/>
      <c r="K25" s="15" t="s">
        <v>242</v>
      </c>
      <c r="L25" s="15" t="s">
        <v>241</v>
      </c>
      <c r="M25" s="16" t="s">
        <v>237</v>
      </c>
      <c r="N25" s="16" t="s">
        <v>235</v>
      </c>
      <c r="O25" s="18">
        <v>3.61</v>
      </c>
    </row>
    <row r="26" spans="1:15" x14ac:dyDescent="0.25">
      <c r="A26" s="3" t="s">
        <v>103</v>
      </c>
      <c r="B26" s="4" t="s">
        <v>104</v>
      </c>
      <c r="C26" s="14" t="s">
        <v>319</v>
      </c>
      <c r="D26" s="15" t="s">
        <v>241</v>
      </c>
      <c r="E26" s="15" t="s">
        <v>242</v>
      </c>
      <c r="F26" s="15" t="s">
        <v>236</v>
      </c>
      <c r="G26" s="16" t="s">
        <v>235</v>
      </c>
      <c r="H26" s="16" t="s">
        <v>237</v>
      </c>
      <c r="I26" s="15" t="s">
        <v>242</v>
      </c>
      <c r="J26" s="13"/>
      <c r="K26" s="15" t="s">
        <v>242</v>
      </c>
      <c r="L26" s="15" t="s">
        <v>241</v>
      </c>
      <c r="M26" s="16" t="s">
        <v>237</v>
      </c>
      <c r="N26" s="15" t="s">
        <v>236</v>
      </c>
      <c r="O26" s="18">
        <v>3.67</v>
      </c>
    </row>
    <row r="27" spans="1:15" x14ac:dyDescent="0.25">
      <c r="A27" s="3" t="s">
        <v>107</v>
      </c>
      <c r="B27" s="4" t="s">
        <v>108</v>
      </c>
      <c r="C27" s="20" t="s">
        <v>320</v>
      </c>
      <c r="D27" s="15" t="s">
        <v>236</v>
      </c>
      <c r="E27" s="15" t="s">
        <v>242</v>
      </c>
      <c r="F27" s="16" t="s">
        <v>235</v>
      </c>
      <c r="G27" s="15" t="s">
        <v>236</v>
      </c>
      <c r="H27" s="16" t="s">
        <v>237</v>
      </c>
      <c r="I27" s="15" t="s">
        <v>242</v>
      </c>
      <c r="J27" s="19"/>
      <c r="K27" s="15" t="s">
        <v>242</v>
      </c>
      <c r="L27" s="16" t="s">
        <v>235</v>
      </c>
      <c r="M27" s="15" t="s">
        <v>242</v>
      </c>
      <c r="N27" s="15" t="s">
        <v>242</v>
      </c>
      <c r="O27" s="18">
        <v>3.67</v>
      </c>
    </row>
    <row r="28" spans="1:15" x14ac:dyDescent="0.25">
      <c r="A28" s="3" t="s">
        <v>111</v>
      </c>
      <c r="B28" s="4" t="s">
        <v>112</v>
      </c>
      <c r="C28" s="14" t="s">
        <v>321</v>
      </c>
      <c r="D28" s="15" t="s">
        <v>241</v>
      </c>
      <c r="E28" s="15" t="s">
        <v>242</v>
      </c>
      <c r="F28" s="15" t="s">
        <v>236</v>
      </c>
      <c r="G28" s="15" t="s">
        <v>236</v>
      </c>
      <c r="H28" s="15" t="s">
        <v>236</v>
      </c>
      <c r="I28" s="15" t="s">
        <v>242</v>
      </c>
      <c r="J28" s="13"/>
      <c r="K28" s="15" t="s">
        <v>242</v>
      </c>
      <c r="L28" s="15" t="s">
        <v>242</v>
      </c>
      <c r="M28" s="15" t="s">
        <v>242</v>
      </c>
      <c r="N28" s="15" t="s">
        <v>242</v>
      </c>
      <c r="O28" s="21">
        <v>3.9</v>
      </c>
    </row>
    <row r="29" spans="1:15" x14ac:dyDescent="0.25">
      <c r="A29" s="3" t="s">
        <v>113</v>
      </c>
      <c r="B29" s="4" t="s">
        <v>114</v>
      </c>
      <c r="C29" s="20" t="s">
        <v>322</v>
      </c>
      <c r="D29" s="16" t="s">
        <v>235</v>
      </c>
      <c r="E29" s="15" t="s">
        <v>241</v>
      </c>
      <c r="F29" s="16" t="s">
        <v>238</v>
      </c>
      <c r="G29" s="17" t="s">
        <v>244</v>
      </c>
      <c r="H29" s="17" t="s">
        <v>243</v>
      </c>
      <c r="I29" s="15" t="s">
        <v>242</v>
      </c>
      <c r="J29" s="19"/>
      <c r="K29" s="15" t="s">
        <v>236</v>
      </c>
      <c r="L29" s="16" t="s">
        <v>237</v>
      </c>
      <c r="M29" s="15" t="s">
        <v>236</v>
      </c>
      <c r="N29" s="16" t="s">
        <v>235</v>
      </c>
      <c r="O29" s="18">
        <v>3.18</v>
      </c>
    </row>
    <row r="30" spans="1:15" x14ac:dyDescent="0.25">
      <c r="A30" s="3" t="s">
        <v>115</v>
      </c>
      <c r="B30" s="4" t="s">
        <v>116</v>
      </c>
      <c r="C30" s="14" t="s">
        <v>323</v>
      </c>
      <c r="D30" s="16" t="s">
        <v>235</v>
      </c>
      <c r="E30" s="16" t="s">
        <v>235</v>
      </c>
      <c r="F30" s="16" t="s">
        <v>237</v>
      </c>
      <c r="G30" s="16" t="s">
        <v>238</v>
      </c>
      <c r="H30" s="16" t="s">
        <v>235</v>
      </c>
      <c r="I30" s="15" t="s">
        <v>242</v>
      </c>
      <c r="J30" s="15" t="s">
        <v>242</v>
      </c>
      <c r="K30" s="15" t="s">
        <v>241</v>
      </c>
      <c r="L30" s="16" t="s">
        <v>238</v>
      </c>
      <c r="M30" s="15" t="s">
        <v>241</v>
      </c>
      <c r="N30" s="13"/>
      <c r="O30" s="18">
        <v>3.4</v>
      </c>
    </row>
    <row r="31" spans="1:15" x14ac:dyDescent="0.25">
      <c r="A31" s="3" t="s">
        <v>117</v>
      </c>
      <c r="B31" s="4" t="s">
        <v>118</v>
      </c>
      <c r="C31" s="20" t="s">
        <v>324</v>
      </c>
      <c r="D31" s="15" t="s">
        <v>242</v>
      </c>
      <c r="E31" s="15" t="s">
        <v>241</v>
      </c>
      <c r="F31" s="15" t="s">
        <v>236</v>
      </c>
      <c r="G31" s="16" t="s">
        <v>235</v>
      </c>
      <c r="H31" s="16" t="s">
        <v>238</v>
      </c>
      <c r="I31" s="16" t="s">
        <v>235</v>
      </c>
      <c r="J31" s="15" t="s">
        <v>242</v>
      </c>
      <c r="K31" s="15" t="s">
        <v>241</v>
      </c>
      <c r="L31" s="16" t="s">
        <v>237</v>
      </c>
      <c r="M31" s="19"/>
      <c r="N31" s="15" t="s">
        <v>242</v>
      </c>
      <c r="O31" s="18">
        <v>3.6</v>
      </c>
    </row>
    <row r="32" spans="1:15" x14ac:dyDescent="0.25">
      <c r="A32" s="3" t="s">
        <v>119</v>
      </c>
      <c r="B32" s="4" t="s">
        <v>120</v>
      </c>
      <c r="C32" s="14" t="s">
        <v>325</v>
      </c>
      <c r="D32" s="15" t="s">
        <v>236</v>
      </c>
      <c r="E32" s="15" t="s">
        <v>241</v>
      </c>
      <c r="F32" s="15" t="s">
        <v>236</v>
      </c>
      <c r="G32" s="15" t="s">
        <v>236</v>
      </c>
      <c r="H32" s="16" t="s">
        <v>237</v>
      </c>
      <c r="I32" s="15" t="s">
        <v>241</v>
      </c>
      <c r="J32" s="15" t="s">
        <v>242</v>
      </c>
      <c r="K32" s="15" t="s">
        <v>242</v>
      </c>
      <c r="L32" s="15" t="s">
        <v>241</v>
      </c>
      <c r="M32" s="13"/>
      <c r="N32" s="16" t="s">
        <v>235</v>
      </c>
      <c r="O32" s="21">
        <v>3.72</v>
      </c>
    </row>
    <row r="33" spans="1:15" x14ac:dyDescent="0.25">
      <c r="A33" s="3" t="s">
        <v>123</v>
      </c>
      <c r="B33" s="4" t="s">
        <v>124</v>
      </c>
      <c r="C33" s="20" t="s">
        <v>326</v>
      </c>
      <c r="D33" s="15" t="s">
        <v>236</v>
      </c>
      <c r="E33" s="15" t="s">
        <v>236</v>
      </c>
      <c r="F33" s="16" t="s">
        <v>238</v>
      </c>
      <c r="G33" s="16" t="s">
        <v>238</v>
      </c>
      <c r="H33" s="17" t="s">
        <v>243</v>
      </c>
      <c r="I33" s="15" t="s">
        <v>236</v>
      </c>
      <c r="J33" s="15" t="s">
        <v>236</v>
      </c>
      <c r="K33" s="15" t="s">
        <v>236</v>
      </c>
      <c r="L33" s="16" t="s">
        <v>235</v>
      </c>
      <c r="M33" s="19"/>
      <c r="N33" s="15" t="s">
        <v>236</v>
      </c>
      <c r="O33" s="18">
        <v>3.28</v>
      </c>
    </row>
    <row r="34" spans="1:15" x14ac:dyDescent="0.25">
      <c r="A34" s="3" t="s">
        <v>125</v>
      </c>
      <c r="B34" s="4" t="s">
        <v>126</v>
      </c>
      <c r="C34" s="14" t="s">
        <v>327</v>
      </c>
      <c r="D34" s="15" t="s">
        <v>241</v>
      </c>
      <c r="E34" s="15" t="s">
        <v>242</v>
      </c>
      <c r="F34" s="16" t="s">
        <v>235</v>
      </c>
      <c r="G34" s="15" t="s">
        <v>236</v>
      </c>
      <c r="H34" s="16" t="s">
        <v>237</v>
      </c>
      <c r="I34" s="15" t="s">
        <v>242</v>
      </c>
      <c r="J34" s="15" t="s">
        <v>236</v>
      </c>
      <c r="K34" s="15" t="s">
        <v>242</v>
      </c>
      <c r="L34" s="15" t="s">
        <v>242</v>
      </c>
      <c r="M34" s="15" t="s">
        <v>242</v>
      </c>
      <c r="N34" s="13"/>
      <c r="O34" s="21">
        <v>3.74</v>
      </c>
    </row>
    <row r="35" spans="1:15" x14ac:dyDescent="0.25">
      <c r="A35" s="3" t="s">
        <v>127</v>
      </c>
      <c r="B35" s="4" t="s">
        <v>128</v>
      </c>
      <c r="C35" s="20" t="s">
        <v>328</v>
      </c>
      <c r="D35" s="15" t="s">
        <v>241</v>
      </c>
      <c r="E35" s="15" t="s">
        <v>236</v>
      </c>
      <c r="F35" s="15" t="s">
        <v>236</v>
      </c>
      <c r="G35" s="15" t="s">
        <v>236</v>
      </c>
      <c r="H35" s="16" t="s">
        <v>235</v>
      </c>
      <c r="I35" s="15" t="s">
        <v>241</v>
      </c>
      <c r="J35" s="15" t="s">
        <v>241</v>
      </c>
      <c r="K35" s="15" t="s">
        <v>242</v>
      </c>
      <c r="L35" s="15" t="s">
        <v>242</v>
      </c>
      <c r="M35" s="19"/>
      <c r="N35" s="15" t="s">
        <v>242</v>
      </c>
      <c r="O35" s="21">
        <v>3.81</v>
      </c>
    </row>
    <row r="36" spans="1:15" x14ac:dyDescent="0.25">
      <c r="A36" s="3" t="s">
        <v>139</v>
      </c>
      <c r="B36" s="4" t="s">
        <v>140</v>
      </c>
      <c r="C36" s="14" t="s">
        <v>329</v>
      </c>
      <c r="D36" s="16" t="s">
        <v>237</v>
      </c>
      <c r="E36" s="15" t="s">
        <v>236</v>
      </c>
      <c r="F36" s="16" t="s">
        <v>235</v>
      </c>
      <c r="G36" s="16" t="s">
        <v>238</v>
      </c>
      <c r="H36" s="16" t="s">
        <v>238</v>
      </c>
      <c r="I36" s="15" t="s">
        <v>241</v>
      </c>
      <c r="J36" s="13"/>
      <c r="K36" s="15" t="s">
        <v>242</v>
      </c>
      <c r="L36" s="16" t="s">
        <v>238</v>
      </c>
      <c r="M36" s="16" t="s">
        <v>237</v>
      </c>
      <c r="N36" s="15" t="s">
        <v>236</v>
      </c>
      <c r="O36" s="18">
        <v>3.26</v>
      </c>
    </row>
    <row r="37" spans="1:15" x14ac:dyDescent="0.25">
      <c r="A37" s="3" t="s">
        <v>155</v>
      </c>
      <c r="B37" s="4" t="s">
        <v>282</v>
      </c>
      <c r="C37" s="20" t="s">
        <v>330</v>
      </c>
      <c r="D37" s="15" t="s">
        <v>236</v>
      </c>
      <c r="E37" s="15" t="s">
        <v>236</v>
      </c>
      <c r="F37" s="15" t="s">
        <v>236</v>
      </c>
      <c r="G37" s="16" t="s">
        <v>235</v>
      </c>
      <c r="H37" s="16" t="s">
        <v>235</v>
      </c>
      <c r="I37" s="15" t="s">
        <v>241</v>
      </c>
      <c r="J37" s="19"/>
      <c r="K37" s="15" t="s">
        <v>242</v>
      </c>
      <c r="L37" s="15" t="s">
        <v>236</v>
      </c>
      <c r="M37" s="15" t="s">
        <v>236</v>
      </c>
      <c r="N37" s="15" t="s">
        <v>242</v>
      </c>
      <c r="O37" s="18">
        <v>3.69</v>
      </c>
    </row>
    <row r="38" spans="1:15" x14ac:dyDescent="0.25">
      <c r="A38" s="22" t="s">
        <v>159</v>
      </c>
      <c r="B38" s="4" t="s">
        <v>160</v>
      </c>
      <c r="C38" s="14" t="s">
        <v>331</v>
      </c>
      <c r="D38" s="15" t="s">
        <v>236</v>
      </c>
      <c r="E38" s="16" t="s">
        <v>235</v>
      </c>
      <c r="F38" s="16" t="s">
        <v>237</v>
      </c>
      <c r="G38" s="16" t="s">
        <v>237</v>
      </c>
      <c r="H38" s="16" t="s">
        <v>235</v>
      </c>
      <c r="I38" s="15" t="s">
        <v>241</v>
      </c>
      <c r="J38" s="13"/>
      <c r="K38" s="15" t="s">
        <v>242</v>
      </c>
      <c r="L38" s="15" t="s">
        <v>242</v>
      </c>
      <c r="M38" s="15" t="s">
        <v>241</v>
      </c>
      <c r="N38" s="15" t="s">
        <v>241</v>
      </c>
      <c r="O38" s="18">
        <v>3.58</v>
      </c>
    </row>
    <row r="39" spans="1:15" x14ac:dyDescent="0.25">
      <c r="A39" s="22" t="s">
        <v>169</v>
      </c>
      <c r="B39" s="4" t="s">
        <v>170</v>
      </c>
      <c r="C39" s="20" t="s">
        <v>332</v>
      </c>
      <c r="D39" s="15" t="s">
        <v>236</v>
      </c>
      <c r="E39" s="15" t="s">
        <v>236</v>
      </c>
      <c r="F39" s="16" t="s">
        <v>235</v>
      </c>
      <c r="G39" s="16" t="s">
        <v>235</v>
      </c>
      <c r="H39" s="16" t="s">
        <v>237</v>
      </c>
      <c r="I39" s="15" t="s">
        <v>242</v>
      </c>
      <c r="J39" s="16" t="s">
        <v>235</v>
      </c>
      <c r="K39" s="16" t="s">
        <v>235</v>
      </c>
      <c r="L39" s="15" t="s">
        <v>242</v>
      </c>
      <c r="M39" s="15" t="s">
        <v>241</v>
      </c>
      <c r="N39" s="19"/>
      <c r="O39" s="18">
        <v>3.54</v>
      </c>
    </row>
    <row r="40" spans="1:15" x14ac:dyDescent="0.25">
      <c r="A40" s="3" t="s">
        <v>171</v>
      </c>
      <c r="B40" s="4" t="s">
        <v>172</v>
      </c>
      <c r="C40" s="14" t="s">
        <v>333</v>
      </c>
      <c r="D40" s="15" t="s">
        <v>241</v>
      </c>
      <c r="E40" s="15" t="s">
        <v>242</v>
      </c>
      <c r="F40" s="15" t="s">
        <v>236</v>
      </c>
      <c r="G40" s="16" t="s">
        <v>237</v>
      </c>
      <c r="H40" s="16" t="s">
        <v>235</v>
      </c>
      <c r="I40" s="15" t="s">
        <v>242</v>
      </c>
      <c r="J40" s="13"/>
      <c r="K40" s="15" t="s">
        <v>242</v>
      </c>
      <c r="L40" s="15" t="s">
        <v>241</v>
      </c>
      <c r="M40" s="15" t="s">
        <v>242</v>
      </c>
      <c r="N40" s="15" t="s">
        <v>241</v>
      </c>
      <c r="O40" s="21">
        <v>3.79</v>
      </c>
    </row>
    <row r="41" spans="1:15" x14ac:dyDescent="0.25">
      <c r="A41" s="3" t="s">
        <v>173</v>
      </c>
      <c r="B41" s="4" t="s">
        <v>174</v>
      </c>
      <c r="C41" s="20" t="s">
        <v>334</v>
      </c>
      <c r="D41" s="15" t="s">
        <v>241</v>
      </c>
      <c r="E41" s="15" t="s">
        <v>236</v>
      </c>
      <c r="F41" s="16" t="s">
        <v>235</v>
      </c>
      <c r="G41" s="17" t="s">
        <v>244</v>
      </c>
      <c r="H41" s="17" t="s">
        <v>244</v>
      </c>
      <c r="I41" s="15" t="s">
        <v>236</v>
      </c>
      <c r="J41" s="16" t="s">
        <v>235</v>
      </c>
      <c r="K41" s="15" t="s">
        <v>241</v>
      </c>
      <c r="L41" s="15" t="s">
        <v>236</v>
      </c>
      <c r="M41" s="19"/>
      <c r="N41" s="16" t="s">
        <v>235</v>
      </c>
      <c r="O41" s="18">
        <v>3.29</v>
      </c>
    </row>
    <row r="42" spans="1:15" x14ac:dyDescent="0.25">
      <c r="A42" s="22" t="s">
        <v>177</v>
      </c>
      <c r="B42" s="4" t="s">
        <v>178</v>
      </c>
      <c r="C42" s="14" t="s">
        <v>335</v>
      </c>
      <c r="D42" s="15" t="s">
        <v>236</v>
      </c>
      <c r="E42" s="15" t="s">
        <v>236</v>
      </c>
      <c r="F42" s="16" t="s">
        <v>235</v>
      </c>
      <c r="G42" s="15" t="s">
        <v>236</v>
      </c>
      <c r="H42" s="16" t="s">
        <v>237</v>
      </c>
      <c r="I42" s="15" t="s">
        <v>242</v>
      </c>
      <c r="J42" s="13"/>
      <c r="K42" s="15" t="s">
        <v>241</v>
      </c>
      <c r="L42" s="15" t="s">
        <v>242</v>
      </c>
      <c r="M42" s="15" t="s">
        <v>242</v>
      </c>
      <c r="N42" s="15" t="s">
        <v>242</v>
      </c>
      <c r="O42" s="18">
        <v>3.69</v>
      </c>
    </row>
    <row r="43" spans="1:15" x14ac:dyDescent="0.25">
      <c r="A43" s="3" t="s">
        <v>179</v>
      </c>
      <c r="B43" s="4" t="s">
        <v>180</v>
      </c>
      <c r="C43" s="20" t="s">
        <v>336</v>
      </c>
      <c r="D43" s="15" t="s">
        <v>241</v>
      </c>
      <c r="E43" s="16" t="s">
        <v>237</v>
      </c>
      <c r="F43" s="16" t="s">
        <v>235</v>
      </c>
      <c r="G43" s="16" t="s">
        <v>237</v>
      </c>
      <c r="H43" s="16" t="s">
        <v>238</v>
      </c>
      <c r="I43" s="15" t="s">
        <v>241</v>
      </c>
      <c r="J43" s="15" t="s">
        <v>241</v>
      </c>
      <c r="K43" s="16" t="s">
        <v>235</v>
      </c>
      <c r="L43" s="15" t="s">
        <v>236</v>
      </c>
      <c r="M43" s="16" t="s">
        <v>238</v>
      </c>
      <c r="N43" s="19"/>
      <c r="O43" s="18">
        <v>3.35</v>
      </c>
    </row>
    <row r="44" spans="1:15" x14ac:dyDescent="0.25">
      <c r="A44" s="3" t="s">
        <v>181</v>
      </c>
      <c r="B44" s="4" t="s">
        <v>182</v>
      </c>
      <c r="C44" s="14" t="s">
        <v>337</v>
      </c>
      <c r="D44" s="16" t="s">
        <v>235</v>
      </c>
      <c r="E44" s="15" t="s">
        <v>236</v>
      </c>
      <c r="F44" s="15" t="s">
        <v>236</v>
      </c>
      <c r="G44" s="17" t="s">
        <v>244</v>
      </c>
      <c r="H44" s="16" t="s">
        <v>237</v>
      </c>
      <c r="I44" s="17" t="s">
        <v>243</v>
      </c>
      <c r="J44" s="16" t="s">
        <v>235</v>
      </c>
      <c r="K44" s="15" t="s">
        <v>236</v>
      </c>
      <c r="L44" s="17" t="s">
        <v>243</v>
      </c>
      <c r="M44" s="13"/>
      <c r="N44" s="15" t="s">
        <v>241</v>
      </c>
      <c r="O44" s="18">
        <v>3.18</v>
      </c>
    </row>
    <row r="45" spans="1:15" x14ac:dyDescent="0.25">
      <c r="A45" s="3" t="s">
        <v>183</v>
      </c>
      <c r="B45" s="4" t="s">
        <v>184</v>
      </c>
      <c r="C45" s="20" t="s">
        <v>338</v>
      </c>
      <c r="D45" s="15" t="s">
        <v>241</v>
      </c>
      <c r="E45" s="15" t="s">
        <v>236</v>
      </c>
      <c r="F45" s="15" t="s">
        <v>236</v>
      </c>
      <c r="G45" s="16" t="s">
        <v>235</v>
      </c>
      <c r="H45" s="15" t="s">
        <v>236</v>
      </c>
      <c r="I45" s="15" t="s">
        <v>242</v>
      </c>
      <c r="J45" s="19"/>
      <c r="K45" s="15" t="s">
        <v>242</v>
      </c>
      <c r="L45" s="15" t="s">
        <v>236</v>
      </c>
      <c r="M45" s="15" t="s">
        <v>241</v>
      </c>
      <c r="N45" s="15" t="s">
        <v>242</v>
      </c>
      <c r="O45" s="21">
        <v>3.8</v>
      </c>
    </row>
    <row r="46" spans="1:15" x14ac:dyDescent="0.25">
      <c r="A46" s="3" t="s">
        <v>197</v>
      </c>
      <c r="B46" s="4" t="s">
        <v>198</v>
      </c>
      <c r="C46" s="14" t="s">
        <v>339</v>
      </c>
      <c r="D46" s="15" t="s">
        <v>236</v>
      </c>
      <c r="E46" s="15" t="s">
        <v>236</v>
      </c>
      <c r="F46" s="15" t="s">
        <v>236</v>
      </c>
      <c r="G46" s="16" t="s">
        <v>235</v>
      </c>
      <c r="H46" s="16" t="s">
        <v>237</v>
      </c>
      <c r="I46" s="15" t="s">
        <v>241</v>
      </c>
      <c r="J46" s="13"/>
      <c r="K46" s="15" t="s">
        <v>241</v>
      </c>
      <c r="L46" s="15" t="s">
        <v>241</v>
      </c>
      <c r="M46" s="15" t="s">
        <v>241</v>
      </c>
      <c r="N46" s="16" t="s">
        <v>235</v>
      </c>
      <c r="O46" s="18">
        <v>3.65</v>
      </c>
    </row>
    <row r="47" spans="1:15" x14ac:dyDescent="0.25">
      <c r="A47" s="3" t="s">
        <v>201</v>
      </c>
      <c r="B47" s="4" t="s">
        <v>202</v>
      </c>
      <c r="C47" s="20" t="s">
        <v>340</v>
      </c>
      <c r="D47" s="16" t="s">
        <v>235</v>
      </c>
      <c r="E47" s="16" t="s">
        <v>237</v>
      </c>
      <c r="F47" s="16" t="s">
        <v>238</v>
      </c>
      <c r="G47" s="16" t="s">
        <v>235</v>
      </c>
      <c r="H47" s="16" t="s">
        <v>238</v>
      </c>
      <c r="I47" s="15" t="s">
        <v>236</v>
      </c>
      <c r="J47" s="19"/>
      <c r="K47" s="15" t="s">
        <v>241</v>
      </c>
      <c r="L47" s="16" t="s">
        <v>237</v>
      </c>
      <c r="M47" s="16" t="s">
        <v>238</v>
      </c>
      <c r="N47" s="15" t="s">
        <v>236</v>
      </c>
      <c r="O47" s="18">
        <v>3.16</v>
      </c>
    </row>
    <row r="48" spans="1:15" x14ac:dyDescent="0.25">
      <c r="A48" s="3" t="s">
        <v>203</v>
      </c>
      <c r="B48" s="4" t="s">
        <v>204</v>
      </c>
      <c r="C48" s="14" t="s">
        <v>341</v>
      </c>
      <c r="D48" s="15" t="s">
        <v>241</v>
      </c>
      <c r="E48" s="16" t="s">
        <v>235</v>
      </c>
      <c r="F48" s="16" t="s">
        <v>238</v>
      </c>
      <c r="G48" s="16" t="s">
        <v>235</v>
      </c>
      <c r="H48" s="16" t="s">
        <v>237</v>
      </c>
      <c r="I48" s="15" t="s">
        <v>236</v>
      </c>
      <c r="J48" s="16" t="s">
        <v>237</v>
      </c>
      <c r="K48" s="16" t="s">
        <v>237</v>
      </c>
      <c r="L48" s="16" t="s">
        <v>235</v>
      </c>
      <c r="M48" s="15" t="s">
        <v>241</v>
      </c>
      <c r="N48" s="13"/>
      <c r="O48" s="18">
        <v>3.32</v>
      </c>
    </row>
    <row r="49" spans="1:15" x14ac:dyDescent="0.25">
      <c r="A49" s="3" t="s">
        <v>207</v>
      </c>
      <c r="B49" s="4" t="s">
        <v>208</v>
      </c>
      <c r="C49" s="20" t="s">
        <v>342</v>
      </c>
      <c r="D49" s="15" t="s">
        <v>241</v>
      </c>
      <c r="E49" s="15" t="s">
        <v>242</v>
      </c>
      <c r="F49" s="15" t="s">
        <v>236</v>
      </c>
      <c r="G49" s="15" t="s">
        <v>236</v>
      </c>
      <c r="H49" s="16" t="s">
        <v>238</v>
      </c>
      <c r="I49" s="15" t="s">
        <v>241</v>
      </c>
      <c r="J49" s="15" t="s">
        <v>236</v>
      </c>
      <c r="K49" s="16" t="s">
        <v>235</v>
      </c>
      <c r="L49" s="15" t="s">
        <v>241</v>
      </c>
      <c r="M49" s="19"/>
      <c r="N49" s="15" t="s">
        <v>241</v>
      </c>
      <c r="O49" s="18">
        <v>3.69</v>
      </c>
    </row>
    <row r="50" spans="1:15" x14ac:dyDescent="0.25">
      <c r="A50" s="3" t="s">
        <v>213</v>
      </c>
      <c r="B50" s="4" t="s">
        <v>214</v>
      </c>
      <c r="C50" s="14" t="s">
        <v>343</v>
      </c>
      <c r="D50" s="15" t="s">
        <v>241</v>
      </c>
      <c r="E50" s="15" t="s">
        <v>242</v>
      </c>
      <c r="F50" s="15" t="s">
        <v>236</v>
      </c>
      <c r="G50" s="16" t="s">
        <v>237</v>
      </c>
      <c r="H50" s="15" t="s">
        <v>236</v>
      </c>
      <c r="I50" s="15" t="s">
        <v>242</v>
      </c>
      <c r="J50" s="15" t="s">
        <v>242</v>
      </c>
      <c r="K50" s="16" t="s">
        <v>235</v>
      </c>
      <c r="L50" s="15" t="s">
        <v>242</v>
      </c>
      <c r="M50" s="15" t="s">
        <v>236</v>
      </c>
      <c r="N50" s="13"/>
      <c r="O50" s="21">
        <v>3.76</v>
      </c>
    </row>
    <row r="51" spans="1:15" x14ac:dyDescent="0.25">
      <c r="A51" s="3" t="s">
        <v>221</v>
      </c>
      <c r="B51" s="4" t="s">
        <v>222</v>
      </c>
      <c r="C51" s="20" t="s">
        <v>344</v>
      </c>
      <c r="D51" s="15" t="s">
        <v>241</v>
      </c>
      <c r="E51" s="15" t="s">
        <v>242</v>
      </c>
      <c r="F51" s="16" t="s">
        <v>235</v>
      </c>
      <c r="G51" s="15" t="s">
        <v>242</v>
      </c>
      <c r="H51" s="15" t="s">
        <v>236</v>
      </c>
      <c r="I51" s="15" t="s">
        <v>241</v>
      </c>
      <c r="J51" s="15" t="s">
        <v>236</v>
      </c>
      <c r="K51" s="15" t="s">
        <v>242</v>
      </c>
      <c r="L51" s="16" t="s">
        <v>235</v>
      </c>
      <c r="M51" s="15" t="s">
        <v>241</v>
      </c>
      <c r="N51" s="19"/>
      <c r="O51" s="21">
        <v>3.79</v>
      </c>
    </row>
    <row r="52" spans="1:15" x14ac:dyDescent="0.25">
      <c r="A52" s="3" t="s">
        <v>225</v>
      </c>
      <c r="B52" s="4" t="s">
        <v>226</v>
      </c>
      <c r="C52" s="14" t="s">
        <v>345</v>
      </c>
      <c r="D52" s="16" t="s">
        <v>235</v>
      </c>
      <c r="E52" s="15" t="s">
        <v>236</v>
      </c>
      <c r="F52" s="16" t="s">
        <v>235</v>
      </c>
      <c r="G52" s="16" t="s">
        <v>237</v>
      </c>
      <c r="H52" s="17" t="s">
        <v>243</v>
      </c>
      <c r="I52" s="15" t="s">
        <v>242</v>
      </c>
      <c r="J52" s="13"/>
      <c r="K52" s="15" t="s">
        <v>236</v>
      </c>
      <c r="L52" s="16" t="s">
        <v>237</v>
      </c>
      <c r="M52" s="16" t="s">
        <v>238</v>
      </c>
      <c r="N52" s="16" t="s">
        <v>235</v>
      </c>
      <c r="O52" s="18">
        <v>3.22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2"/>
  <sheetViews>
    <sheetView topLeftCell="A22" workbookViewId="0">
      <selection activeCell="J37" sqref="J37"/>
    </sheetView>
  </sheetViews>
  <sheetFormatPr defaultRowHeight="15" x14ac:dyDescent="0.25"/>
  <cols>
    <col min="1" max="1" width="14.5703125" customWidth="1"/>
    <col min="2" max="2" width="27.28515625" customWidth="1"/>
    <col min="3" max="3" width="16.5703125" customWidth="1"/>
  </cols>
  <sheetData>
    <row r="1" spans="1:4" x14ac:dyDescent="0.25">
      <c r="A1" s="1" t="s">
        <v>0</v>
      </c>
      <c r="B1" s="2" t="s">
        <v>1</v>
      </c>
      <c r="C1" s="9" t="s">
        <v>283</v>
      </c>
      <c r="D1" s="23" t="s">
        <v>346</v>
      </c>
    </row>
    <row r="2" spans="1:4" x14ac:dyDescent="0.25">
      <c r="A2" s="3" t="s">
        <v>19</v>
      </c>
      <c r="B2" s="4" t="s">
        <v>20</v>
      </c>
      <c r="C2" s="14" t="s">
        <v>295</v>
      </c>
      <c r="D2" s="24" t="s">
        <v>242</v>
      </c>
    </row>
    <row r="3" spans="1:4" x14ac:dyDescent="0.25">
      <c r="A3" s="3" t="s">
        <v>23</v>
      </c>
      <c r="B3" s="4" t="s">
        <v>24</v>
      </c>
      <c r="C3" s="20" t="s">
        <v>296</v>
      </c>
      <c r="D3" s="25" t="s">
        <v>241</v>
      </c>
    </row>
    <row r="4" spans="1:4" x14ac:dyDescent="0.25">
      <c r="A4" s="3" t="s">
        <v>25</v>
      </c>
      <c r="B4" s="4" t="s">
        <v>26</v>
      </c>
      <c r="C4" s="14" t="s">
        <v>297</v>
      </c>
      <c r="D4" s="24" t="s">
        <v>242</v>
      </c>
    </row>
    <row r="5" spans="1:4" x14ac:dyDescent="0.25">
      <c r="A5" s="3" t="s">
        <v>33</v>
      </c>
      <c r="B5" s="4" t="s">
        <v>34</v>
      </c>
      <c r="C5" s="20" t="s">
        <v>298</v>
      </c>
      <c r="D5" s="25" t="s">
        <v>236</v>
      </c>
    </row>
    <row r="6" spans="1:4" x14ac:dyDescent="0.25">
      <c r="A6" s="3" t="s">
        <v>37</v>
      </c>
      <c r="B6" s="4" t="s">
        <v>38</v>
      </c>
      <c r="C6" s="14" t="s">
        <v>299</v>
      </c>
      <c r="D6" s="24" t="s">
        <v>236</v>
      </c>
    </row>
    <row r="7" spans="1:4" x14ac:dyDescent="0.25">
      <c r="A7" s="3" t="s">
        <v>39</v>
      </c>
      <c r="B7" s="4" t="s">
        <v>40</v>
      </c>
      <c r="C7" s="20" t="s">
        <v>300</v>
      </c>
      <c r="D7" s="25" t="s">
        <v>241</v>
      </c>
    </row>
    <row r="8" spans="1:4" x14ac:dyDescent="0.25">
      <c r="A8" s="3" t="s">
        <v>41</v>
      </c>
      <c r="B8" s="4" t="s">
        <v>275</v>
      </c>
      <c r="C8" s="14" t="s">
        <v>301</v>
      </c>
      <c r="D8" s="24" t="s">
        <v>242</v>
      </c>
    </row>
    <row r="9" spans="1:4" x14ac:dyDescent="0.25">
      <c r="A9" s="3" t="s">
        <v>45</v>
      </c>
      <c r="B9" s="4" t="s">
        <v>46</v>
      </c>
      <c r="C9" s="20" t="s">
        <v>302</v>
      </c>
      <c r="D9" s="25" t="s">
        <v>241</v>
      </c>
    </row>
    <row r="10" spans="1:4" x14ac:dyDescent="0.25">
      <c r="A10" s="3" t="s">
        <v>47</v>
      </c>
      <c r="B10" s="4" t="s">
        <v>48</v>
      </c>
      <c r="C10" s="14" t="s">
        <v>303</v>
      </c>
      <c r="D10" s="24" t="s">
        <v>241</v>
      </c>
    </row>
    <row r="11" spans="1:4" x14ac:dyDescent="0.25">
      <c r="A11" s="3" t="s">
        <v>51</v>
      </c>
      <c r="B11" s="4" t="s">
        <v>52</v>
      </c>
      <c r="C11" s="20" t="s">
        <v>304</v>
      </c>
      <c r="D11" s="25" t="s">
        <v>241</v>
      </c>
    </row>
    <row r="12" spans="1:4" x14ac:dyDescent="0.25">
      <c r="A12" s="22" t="s">
        <v>53</v>
      </c>
      <c r="B12" s="4" t="s">
        <v>54</v>
      </c>
      <c r="C12" s="14" t="s">
        <v>305</v>
      </c>
      <c r="D12" s="24" t="s">
        <v>236</v>
      </c>
    </row>
    <row r="13" spans="1:4" x14ac:dyDescent="0.25">
      <c r="A13" s="3" t="s">
        <v>67</v>
      </c>
      <c r="B13" s="4" t="s">
        <v>68</v>
      </c>
      <c r="C13" s="20" t="s">
        <v>306</v>
      </c>
      <c r="D13" s="25" t="s">
        <v>241</v>
      </c>
    </row>
    <row r="14" spans="1:4" x14ac:dyDescent="0.25">
      <c r="A14" s="3" t="s">
        <v>69</v>
      </c>
      <c r="B14" s="4" t="s">
        <v>70</v>
      </c>
      <c r="C14" s="14" t="s">
        <v>307</v>
      </c>
      <c r="D14" s="24" t="s">
        <v>241</v>
      </c>
    </row>
    <row r="15" spans="1:4" x14ac:dyDescent="0.25">
      <c r="A15" s="3" t="s">
        <v>71</v>
      </c>
      <c r="B15" s="4" t="s">
        <v>72</v>
      </c>
      <c r="C15" s="20" t="s">
        <v>308</v>
      </c>
      <c r="D15" s="25" t="s">
        <v>241</v>
      </c>
    </row>
    <row r="16" spans="1:4" x14ac:dyDescent="0.25">
      <c r="A16" s="3" t="s">
        <v>77</v>
      </c>
      <c r="B16" s="4" t="s">
        <v>78</v>
      </c>
      <c r="C16" s="14" t="s">
        <v>309</v>
      </c>
      <c r="D16" s="24" t="s">
        <v>236</v>
      </c>
    </row>
    <row r="17" spans="1:4" x14ac:dyDescent="0.25">
      <c r="A17" s="3" t="s">
        <v>81</v>
      </c>
      <c r="B17" s="4" t="s">
        <v>82</v>
      </c>
      <c r="C17" s="20" t="s">
        <v>310</v>
      </c>
      <c r="D17" s="25" t="s">
        <v>241</v>
      </c>
    </row>
    <row r="18" spans="1:4" x14ac:dyDescent="0.25">
      <c r="A18" s="3" t="s">
        <v>85</v>
      </c>
      <c r="B18" s="4" t="s">
        <v>86</v>
      </c>
      <c r="C18" s="14" t="s">
        <v>311</v>
      </c>
      <c r="D18" s="24" t="s">
        <v>236</v>
      </c>
    </row>
    <row r="19" spans="1:4" x14ac:dyDescent="0.25">
      <c r="A19" s="3" t="s">
        <v>89</v>
      </c>
      <c r="B19" s="4" t="s">
        <v>90</v>
      </c>
      <c r="C19" s="20" t="s">
        <v>312</v>
      </c>
      <c r="D19" s="25" t="s">
        <v>235</v>
      </c>
    </row>
    <row r="20" spans="1:4" x14ac:dyDescent="0.25">
      <c r="A20" s="3" t="s">
        <v>91</v>
      </c>
      <c r="B20" s="4" t="s">
        <v>92</v>
      </c>
      <c r="C20" s="14" t="s">
        <v>313</v>
      </c>
      <c r="D20" s="24" t="s">
        <v>241</v>
      </c>
    </row>
    <row r="21" spans="1:4" x14ac:dyDescent="0.25">
      <c r="A21" s="3" t="s">
        <v>93</v>
      </c>
      <c r="B21" s="4" t="s">
        <v>94</v>
      </c>
      <c r="C21" s="20" t="s">
        <v>314</v>
      </c>
      <c r="D21" s="25" t="s">
        <v>241</v>
      </c>
    </row>
    <row r="22" spans="1:4" x14ac:dyDescent="0.25">
      <c r="A22" s="3" t="s">
        <v>95</v>
      </c>
      <c r="B22" s="4" t="s">
        <v>96</v>
      </c>
      <c r="C22" s="14" t="s">
        <v>315</v>
      </c>
      <c r="D22" s="24" t="s">
        <v>242</v>
      </c>
    </row>
    <row r="23" spans="1:4" x14ac:dyDescent="0.25">
      <c r="A23" s="3" t="s">
        <v>97</v>
      </c>
      <c r="B23" s="4" t="s">
        <v>98</v>
      </c>
      <c r="C23" s="20" t="s">
        <v>316</v>
      </c>
      <c r="D23" s="25" t="s">
        <v>237</v>
      </c>
    </row>
    <row r="24" spans="1:4" x14ac:dyDescent="0.25">
      <c r="A24" s="3" t="s">
        <v>99</v>
      </c>
      <c r="B24" s="4" t="s">
        <v>100</v>
      </c>
      <c r="C24" s="14" t="s">
        <v>317</v>
      </c>
      <c r="D24" s="24" t="s">
        <v>242</v>
      </c>
    </row>
    <row r="25" spans="1:4" x14ac:dyDescent="0.25">
      <c r="A25" s="3" t="s">
        <v>101</v>
      </c>
      <c r="B25" s="4" t="s">
        <v>102</v>
      </c>
      <c r="C25" s="20" t="s">
        <v>318</v>
      </c>
      <c r="D25" s="25" t="s">
        <v>241</v>
      </c>
    </row>
    <row r="26" spans="1:4" x14ac:dyDescent="0.25">
      <c r="A26" s="3" t="s">
        <v>103</v>
      </c>
      <c r="B26" s="4" t="s">
        <v>104</v>
      </c>
      <c r="C26" s="14" t="s">
        <v>319</v>
      </c>
      <c r="D26" s="24" t="s">
        <v>236</v>
      </c>
    </row>
    <row r="27" spans="1:4" x14ac:dyDescent="0.25">
      <c r="A27" s="3" t="s">
        <v>107</v>
      </c>
      <c r="B27" s="4" t="s">
        <v>108</v>
      </c>
      <c r="C27" s="20" t="s">
        <v>320</v>
      </c>
      <c r="D27" s="25" t="s">
        <v>236</v>
      </c>
    </row>
    <row r="28" spans="1:4" x14ac:dyDescent="0.25">
      <c r="A28" s="3" t="s">
        <v>111</v>
      </c>
      <c r="B28" s="4" t="s">
        <v>112</v>
      </c>
      <c r="C28" s="14" t="s">
        <v>321</v>
      </c>
      <c r="D28" s="24" t="s">
        <v>236</v>
      </c>
    </row>
    <row r="29" spans="1:4" x14ac:dyDescent="0.25">
      <c r="A29" s="3" t="s">
        <v>113</v>
      </c>
      <c r="B29" s="4" t="s">
        <v>114</v>
      </c>
      <c r="C29" s="20" t="s">
        <v>322</v>
      </c>
      <c r="D29" s="25" t="s">
        <v>236</v>
      </c>
    </row>
    <row r="30" spans="1:4" x14ac:dyDescent="0.25">
      <c r="A30" s="3" t="s">
        <v>115</v>
      </c>
      <c r="B30" s="4" t="s">
        <v>116</v>
      </c>
      <c r="C30" s="14" t="s">
        <v>323</v>
      </c>
      <c r="D30" s="24" t="s">
        <v>241</v>
      </c>
    </row>
    <row r="31" spans="1:4" x14ac:dyDescent="0.25">
      <c r="A31" s="3" t="s">
        <v>117</v>
      </c>
      <c r="B31" s="4" t="s">
        <v>118</v>
      </c>
      <c r="C31" s="20" t="s">
        <v>324</v>
      </c>
      <c r="D31" s="25" t="s">
        <v>241</v>
      </c>
    </row>
    <row r="32" spans="1:4" x14ac:dyDescent="0.25">
      <c r="A32" s="3" t="s">
        <v>119</v>
      </c>
      <c r="B32" s="4" t="s">
        <v>120</v>
      </c>
      <c r="C32" s="14" t="s">
        <v>325</v>
      </c>
      <c r="D32" s="24" t="s">
        <v>241</v>
      </c>
    </row>
    <row r="33" spans="1:4" x14ac:dyDescent="0.25">
      <c r="A33" s="3" t="s">
        <v>123</v>
      </c>
      <c r="B33" s="4" t="s">
        <v>124</v>
      </c>
      <c r="C33" s="20" t="s">
        <v>326</v>
      </c>
      <c r="D33" s="25" t="s">
        <v>241</v>
      </c>
    </row>
    <row r="34" spans="1:4" x14ac:dyDescent="0.25">
      <c r="A34" s="3" t="s">
        <v>125</v>
      </c>
      <c r="B34" s="4" t="s">
        <v>126</v>
      </c>
      <c r="C34" s="14" t="s">
        <v>327</v>
      </c>
      <c r="D34" s="24" t="s">
        <v>241</v>
      </c>
    </row>
    <row r="35" spans="1:4" x14ac:dyDescent="0.25">
      <c r="A35" s="3" t="s">
        <v>127</v>
      </c>
      <c r="B35" s="4" t="s">
        <v>128</v>
      </c>
      <c r="C35" s="20" t="s">
        <v>328</v>
      </c>
      <c r="D35" s="25" t="s">
        <v>242</v>
      </c>
    </row>
    <row r="36" spans="1:4" x14ac:dyDescent="0.25">
      <c r="A36" s="3" t="s">
        <v>139</v>
      </c>
      <c r="B36" s="4" t="s">
        <v>140</v>
      </c>
      <c r="C36" s="14" t="s">
        <v>329</v>
      </c>
      <c r="D36" s="24" t="s">
        <v>235</v>
      </c>
    </row>
    <row r="37" spans="1:4" x14ac:dyDescent="0.25">
      <c r="A37" s="3" t="s">
        <v>155</v>
      </c>
      <c r="B37" s="4" t="s">
        <v>282</v>
      </c>
      <c r="C37" s="20" t="s">
        <v>330</v>
      </c>
      <c r="D37" s="25" t="s">
        <v>236</v>
      </c>
    </row>
    <row r="38" spans="1:4" x14ac:dyDescent="0.25">
      <c r="A38" s="22" t="s">
        <v>159</v>
      </c>
      <c r="B38" s="4" t="s">
        <v>160</v>
      </c>
      <c r="C38" s="14" t="s">
        <v>331</v>
      </c>
      <c r="D38" s="24" t="s">
        <v>241</v>
      </c>
    </row>
    <row r="39" spans="1:4" x14ac:dyDescent="0.25">
      <c r="A39" s="22" t="s">
        <v>169</v>
      </c>
      <c r="B39" s="4" t="s">
        <v>170</v>
      </c>
      <c r="C39" s="20" t="s">
        <v>332</v>
      </c>
      <c r="D39" s="25" t="s">
        <v>235</v>
      </c>
    </row>
    <row r="40" spans="1:4" x14ac:dyDescent="0.25">
      <c r="A40" s="3" t="s">
        <v>171</v>
      </c>
      <c r="B40" s="4" t="s">
        <v>172</v>
      </c>
      <c r="C40" s="14" t="s">
        <v>333</v>
      </c>
      <c r="D40" s="24" t="s">
        <v>236</v>
      </c>
    </row>
    <row r="41" spans="1:4" x14ac:dyDescent="0.25">
      <c r="A41" s="3" t="s">
        <v>173</v>
      </c>
      <c r="B41" s="4" t="s">
        <v>174</v>
      </c>
      <c r="C41" s="20" t="s">
        <v>334</v>
      </c>
      <c r="D41" s="25" t="s">
        <v>236</v>
      </c>
    </row>
    <row r="42" spans="1:4" x14ac:dyDescent="0.25">
      <c r="A42" s="22" t="s">
        <v>177</v>
      </c>
      <c r="B42" s="4" t="s">
        <v>178</v>
      </c>
      <c r="C42" s="14" t="s">
        <v>335</v>
      </c>
      <c r="D42" s="24" t="s">
        <v>241</v>
      </c>
    </row>
    <row r="43" spans="1:4" x14ac:dyDescent="0.25">
      <c r="A43" s="3" t="s">
        <v>179</v>
      </c>
      <c r="B43" s="4" t="s">
        <v>180</v>
      </c>
      <c r="C43" s="20" t="s">
        <v>336</v>
      </c>
      <c r="D43" s="25" t="s">
        <v>241</v>
      </c>
    </row>
    <row r="44" spans="1:4" x14ac:dyDescent="0.25">
      <c r="A44" s="3" t="s">
        <v>181</v>
      </c>
      <c r="B44" s="4" t="s">
        <v>182</v>
      </c>
      <c r="C44" s="14" t="s">
        <v>337</v>
      </c>
      <c r="D44" s="24" t="s">
        <v>236</v>
      </c>
    </row>
    <row r="45" spans="1:4" x14ac:dyDescent="0.25">
      <c r="A45" s="3" t="s">
        <v>183</v>
      </c>
      <c r="B45" s="4" t="s">
        <v>184</v>
      </c>
      <c r="C45" s="20" t="s">
        <v>338</v>
      </c>
      <c r="D45" s="25" t="s">
        <v>236</v>
      </c>
    </row>
    <row r="46" spans="1:4" x14ac:dyDescent="0.25">
      <c r="A46" s="3" t="s">
        <v>197</v>
      </c>
      <c r="B46" s="4" t="s">
        <v>198</v>
      </c>
      <c r="C46" s="14" t="s">
        <v>339</v>
      </c>
      <c r="D46" s="24" t="s">
        <v>236</v>
      </c>
    </row>
    <row r="47" spans="1:4" x14ac:dyDescent="0.25">
      <c r="A47" s="3" t="s">
        <v>201</v>
      </c>
      <c r="B47" s="4" t="s">
        <v>202</v>
      </c>
      <c r="C47" s="20" t="s">
        <v>340</v>
      </c>
      <c r="D47" s="25" t="s">
        <v>236</v>
      </c>
    </row>
    <row r="48" spans="1:4" x14ac:dyDescent="0.25">
      <c r="A48" s="3" t="s">
        <v>203</v>
      </c>
      <c r="B48" s="4" t="s">
        <v>204</v>
      </c>
      <c r="C48" s="14" t="s">
        <v>341</v>
      </c>
      <c r="D48" s="24" t="s">
        <v>236</v>
      </c>
    </row>
    <row r="49" spans="1:4" x14ac:dyDescent="0.25">
      <c r="A49" s="3" t="s">
        <v>207</v>
      </c>
      <c r="B49" s="4" t="s">
        <v>208</v>
      </c>
      <c r="C49" s="20" t="s">
        <v>342</v>
      </c>
      <c r="D49" s="25" t="s">
        <v>242</v>
      </c>
    </row>
    <row r="50" spans="1:4" x14ac:dyDescent="0.25">
      <c r="A50" s="3" t="s">
        <v>213</v>
      </c>
      <c r="B50" s="4" t="s">
        <v>214</v>
      </c>
      <c r="C50" s="14" t="s">
        <v>343</v>
      </c>
      <c r="D50" s="24" t="s">
        <v>241</v>
      </c>
    </row>
    <row r="51" spans="1:4" x14ac:dyDescent="0.25">
      <c r="A51" s="3" t="s">
        <v>221</v>
      </c>
      <c r="B51" s="4" t="s">
        <v>222</v>
      </c>
      <c r="C51" s="20" t="s">
        <v>344</v>
      </c>
      <c r="D51" s="25" t="s">
        <v>241</v>
      </c>
    </row>
    <row r="52" spans="1:4" x14ac:dyDescent="0.25">
      <c r="A52" s="3" t="s">
        <v>225</v>
      </c>
      <c r="B52" s="4" t="s">
        <v>226</v>
      </c>
      <c r="C52" s="14" t="s">
        <v>345</v>
      </c>
      <c r="D52" s="24" t="s">
        <v>242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000"/>
  <sheetViews>
    <sheetView tabSelected="1" topLeftCell="A70" zoomScale="73" workbookViewId="0">
      <selection activeCell="I113" sqref="I113"/>
    </sheetView>
  </sheetViews>
  <sheetFormatPr defaultColWidth="14.42578125" defaultRowHeight="15" customHeight="1" x14ac:dyDescent="0.25"/>
  <cols>
    <col min="1" max="1" width="14" customWidth="1"/>
    <col min="2" max="2" width="32" customWidth="1"/>
    <col min="3" max="8" width="11" customWidth="1"/>
    <col min="9" max="9" width="17" customWidth="1"/>
    <col min="10" max="10" width="16" customWidth="1"/>
    <col min="11" max="11" width="15" customWidth="1"/>
    <col min="12" max="12" width="17" customWidth="1"/>
    <col min="13" max="14" width="18" customWidth="1"/>
    <col min="15" max="15" width="20" customWidth="1"/>
    <col min="16" max="21" width="63" customWidth="1"/>
  </cols>
  <sheetData>
    <row r="1" spans="1:15" ht="27.95" customHeight="1" x14ac:dyDescent="0.2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</row>
    <row r="2" spans="1:15" x14ac:dyDescent="0.25">
      <c r="A2" s="27" t="s">
        <v>15</v>
      </c>
      <c r="B2" s="27" t="s">
        <v>16</v>
      </c>
      <c r="C2" s="27">
        <v>3.26</v>
      </c>
      <c r="D2" s="27">
        <v>3.5</v>
      </c>
      <c r="E2" s="28">
        <f>'2.1'!H2</f>
        <v>3.67</v>
      </c>
      <c r="F2" s="27">
        <v>2.59</v>
      </c>
      <c r="G2" s="27">
        <f>'3.1'!I2</f>
        <v>3.1</v>
      </c>
      <c r="H2" s="27">
        <v>3.15</v>
      </c>
      <c r="I2" s="29">
        <f t="shared" ref="I2:I33" si="0">ROUND(AVERAGE(C2:H2), 3)</f>
        <v>3.2120000000000002</v>
      </c>
      <c r="J2" s="29" t="str">
        <f>IFERROR(VLOOKUP(A2, '4.1'!$A$2:$O$52, 15, FALSE), "N/A")</f>
        <v>N/A</v>
      </c>
      <c r="K2" s="29" t="str">
        <f>IF(IFERROR(VLOOKUP(A2, '4.2'!$A$2:$D$52, 4, FALSE), "")="A+",4,IF(IFERROR(VLOOKUP(A2, '4.2'!$A$2:$D$52, 4, FALSE), "")="A",4,IF(IFERROR(VLOOKUP(A2, '4.2'!$A$2:$D$52, 4, FALSE), "")="A-",3.7,IF(IFERROR(VLOOKUP(A2, '4.2'!$A$2:$D$52, 4, FALSE), "")="B+",3.3,IF(IFERROR(VLOOKUP(A2, '4.2'!$A$2:$D$52, 4, FALSE), "")="B",3,IF(IFERROR(VLOOKUP(A2, '4.2'!$A$2:$D$52, 4, FALSE), "")="B-",2.7,IF(IFERROR(VLOOKUP(A2, '4.2'!$A$2:$D$52, 4, FALSE), "")="C+",2.3,IF(IFERROR(VLOOKUP(A2, '4.2'!$A$2:$D$52, 4, FALSE), "")="C",2,IF(IFERROR(VLOOKUP(A2, '4.2'!$A$2:$D$52, 4, FALSE), "")="C-",1.7,IF(IFERROR(VLOOKUP(A2, '4.2'!$A$2:$D$52, 4, FALSE), "")="D+",1.3,IF(IFERROR(VLOOKUP(A2, '4.2'!$A$2:$D$52, 4, FALSE), "")="D",1,IF(IFERROR(VLOOKUP(A2, '4.2'!$A$2:$D$52, 4, FALSE), "")="E",0,"N/A"))))))))))))</f>
        <v>N/A</v>
      </c>
      <c r="L2" s="29" t="str">
        <f t="shared" ref="L2:L33" si="1">IF(ISNUMBER(J2), ROUND((J2*24 + K2*6)/30, 3), "N/A")</f>
        <v>N/A</v>
      </c>
      <c r="M2" s="29">
        <f t="shared" ref="M2:M33" si="2">IF(ISNUMBER(L2), ROUND(I2*0.75 + L2*0.25, 3), I2)</f>
        <v>3.2120000000000002</v>
      </c>
      <c r="N2" s="29" t="str">
        <f t="shared" ref="N2:N33" si="3">IF(ISNUMBER(L2), "Honours (120 Cr)", "General (90 Cr)")</f>
        <v>General (90 Cr)</v>
      </c>
      <c r="O2" s="30" t="str">
        <f t="shared" ref="O2:O33" si="4">IF(M2&gt;=3.7, "First Class", IF(M2&gt;=3.3, "Second Class Upper", IF(M2&gt;=3, "Second Class Lower", IF(M2&gt;=2, "General Pass", "Below Pass"))))</f>
        <v>Second Class Lower</v>
      </c>
    </row>
    <row r="3" spans="1:15" x14ac:dyDescent="0.25">
      <c r="A3" s="27" t="s">
        <v>17</v>
      </c>
      <c r="B3" s="27" t="s">
        <v>18</v>
      </c>
      <c r="C3" s="27">
        <v>2.08</v>
      </c>
      <c r="D3" s="27">
        <v>1.47</v>
      </c>
      <c r="E3" s="28">
        <f>'2.1'!H3</f>
        <v>1.01</v>
      </c>
      <c r="F3" s="27">
        <v>0</v>
      </c>
      <c r="G3" s="27">
        <f>'3.1'!I3</f>
        <v>2.3199999999999998</v>
      </c>
      <c r="H3" s="27">
        <v>1.65</v>
      </c>
      <c r="I3" s="29">
        <f t="shared" si="0"/>
        <v>1.4219999999999999</v>
      </c>
      <c r="J3" s="29" t="str">
        <f>IFERROR(VLOOKUP(A3, '4.1'!$A$2:$O$52, 15, FALSE), "N/A")</f>
        <v>N/A</v>
      </c>
      <c r="K3" s="29" t="str">
        <f>IF(IFERROR(VLOOKUP(A3, '4.2'!$A$2:$D$52, 4, FALSE), "")="A+",4,IF(IFERROR(VLOOKUP(A3, '4.2'!$A$2:$D$52, 4, FALSE), "")="A",4,IF(IFERROR(VLOOKUP(A3, '4.2'!$A$2:$D$52, 4, FALSE), "")="A-",3.7,IF(IFERROR(VLOOKUP(A3, '4.2'!$A$2:$D$52, 4, FALSE), "")="B+",3.3,IF(IFERROR(VLOOKUP(A3, '4.2'!$A$2:$D$52, 4, FALSE), "")="B",3,IF(IFERROR(VLOOKUP(A3, '4.2'!$A$2:$D$52, 4, FALSE), "")="B-",2.7,IF(IFERROR(VLOOKUP(A3, '4.2'!$A$2:$D$52, 4, FALSE), "")="C+",2.3,IF(IFERROR(VLOOKUP(A3, '4.2'!$A$2:$D$52, 4, FALSE), "")="C",2,IF(IFERROR(VLOOKUP(A3, '4.2'!$A$2:$D$52, 4, FALSE), "")="C-",1.7,IF(IFERROR(VLOOKUP(A3, '4.2'!$A$2:$D$52, 4, FALSE), "")="D+",1.3,IF(IFERROR(VLOOKUP(A3, '4.2'!$A$2:$D$52, 4, FALSE), "")="D",1,IF(IFERROR(VLOOKUP(A3, '4.2'!$A$2:$D$52, 4, FALSE), "")="E",0,"N/A"))))))))))))</f>
        <v>N/A</v>
      </c>
      <c r="L3" s="29" t="str">
        <f t="shared" si="1"/>
        <v>N/A</v>
      </c>
      <c r="M3" s="29">
        <f t="shared" si="2"/>
        <v>1.4219999999999999</v>
      </c>
      <c r="N3" s="29" t="str">
        <f t="shared" si="3"/>
        <v>General (90 Cr)</v>
      </c>
      <c r="O3" s="30" t="str">
        <f t="shared" si="4"/>
        <v>Below Pass</v>
      </c>
    </row>
    <row r="4" spans="1:15" x14ac:dyDescent="0.25">
      <c r="A4" s="27" t="s">
        <v>19</v>
      </c>
      <c r="B4" s="27" t="s">
        <v>20</v>
      </c>
      <c r="C4" s="27">
        <v>3.55</v>
      </c>
      <c r="D4" s="27">
        <v>2.91</v>
      </c>
      <c r="E4" s="28">
        <f>'2.1'!H4</f>
        <v>3.01</v>
      </c>
      <c r="F4" s="27">
        <v>2.67</v>
      </c>
      <c r="G4" s="27">
        <f>'3.1'!I4</f>
        <v>3.33</v>
      </c>
      <c r="H4" s="27">
        <v>3.23</v>
      </c>
      <c r="I4" s="29">
        <f t="shared" si="0"/>
        <v>3.117</v>
      </c>
      <c r="J4" s="29">
        <f>IFERROR(VLOOKUP(A4, '4.1'!$A$2:$O$52, 15, FALSE), "N/A")</f>
        <v>3.11</v>
      </c>
      <c r="K4" s="29">
        <f>IF(IFERROR(VLOOKUP(A4, '4.2'!$A$2:$D$52, 4, FALSE), "")="A+",4,IF(IFERROR(VLOOKUP(A4, '4.2'!$A$2:$D$52, 4, FALSE), "")="A",4,IF(IFERROR(VLOOKUP(A4, '4.2'!$A$2:$D$52, 4, FALSE), "")="A-",3.7,IF(IFERROR(VLOOKUP(A4, '4.2'!$A$2:$D$52, 4, FALSE), "")="B+",3.3,IF(IFERROR(VLOOKUP(A4, '4.2'!$A$2:$D$52, 4, FALSE), "")="B",3,IF(IFERROR(VLOOKUP(A4, '4.2'!$A$2:$D$52, 4, FALSE), "")="B-",2.7,IF(IFERROR(VLOOKUP(A4, '4.2'!$A$2:$D$52, 4, FALSE), "")="C+",2.3,IF(IFERROR(VLOOKUP(A4, '4.2'!$A$2:$D$52, 4, FALSE), "")="C",2,IF(IFERROR(VLOOKUP(A4, '4.2'!$A$2:$D$52, 4, FALSE), "")="C-",1.7,IF(IFERROR(VLOOKUP(A4, '4.2'!$A$2:$D$52, 4, FALSE), "")="D+",1.3,IF(IFERROR(VLOOKUP(A4, '4.2'!$A$2:$D$52, 4, FALSE), "")="D",1,IF(IFERROR(VLOOKUP(A4, '4.2'!$A$2:$D$52, 4, FALSE), "")="E",0,"N/A"))))))))))))</f>
        <v>4</v>
      </c>
      <c r="L4" s="29">
        <f t="shared" si="1"/>
        <v>3.2879999999999998</v>
      </c>
      <c r="M4" s="29">
        <f t="shared" si="2"/>
        <v>3.16</v>
      </c>
      <c r="N4" s="29" t="str">
        <f t="shared" si="3"/>
        <v>Honours (120 Cr)</v>
      </c>
      <c r="O4" s="30" t="str">
        <f t="shared" si="4"/>
        <v>Second Class Lower</v>
      </c>
    </row>
    <row r="5" spans="1:15" x14ac:dyDescent="0.25">
      <c r="A5" s="27" t="s">
        <v>21</v>
      </c>
      <c r="B5" s="27" t="s">
        <v>22</v>
      </c>
      <c r="C5" s="27">
        <v>3.31</v>
      </c>
      <c r="D5" s="27">
        <v>3.19</v>
      </c>
      <c r="E5" s="28">
        <f>'2.1'!H5</f>
        <v>2.69</v>
      </c>
      <c r="F5" s="27">
        <v>2.65</v>
      </c>
      <c r="G5" s="27">
        <f>'3.1'!I5</f>
        <v>3.47</v>
      </c>
      <c r="H5" s="27">
        <v>3.76</v>
      </c>
      <c r="I5" s="29">
        <f t="shared" si="0"/>
        <v>3.1779999999999999</v>
      </c>
      <c r="J5" s="29" t="str">
        <f>IFERROR(VLOOKUP(A5, '4.1'!$A$2:$O$52, 15, FALSE), "N/A")</f>
        <v>N/A</v>
      </c>
      <c r="K5" s="29" t="str">
        <f>IF(IFERROR(VLOOKUP(A5, '4.2'!$A$2:$D$52, 4, FALSE), "")="A+",4,IF(IFERROR(VLOOKUP(A5, '4.2'!$A$2:$D$52, 4, FALSE), "")="A",4,IF(IFERROR(VLOOKUP(A5, '4.2'!$A$2:$D$52, 4, FALSE), "")="A-",3.7,IF(IFERROR(VLOOKUP(A5, '4.2'!$A$2:$D$52, 4, FALSE), "")="B+",3.3,IF(IFERROR(VLOOKUP(A5, '4.2'!$A$2:$D$52, 4, FALSE), "")="B",3,IF(IFERROR(VLOOKUP(A5, '4.2'!$A$2:$D$52, 4, FALSE), "")="B-",2.7,IF(IFERROR(VLOOKUP(A5, '4.2'!$A$2:$D$52, 4, FALSE), "")="C+",2.3,IF(IFERROR(VLOOKUP(A5, '4.2'!$A$2:$D$52, 4, FALSE), "")="C",2,IF(IFERROR(VLOOKUP(A5, '4.2'!$A$2:$D$52, 4, FALSE), "")="C-",1.7,IF(IFERROR(VLOOKUP(A5, '4.2'!$A$2:$D$52, 4, FALSE), "")="D+",1.3,IF(IFERROR(VLOOKUP(A5, '4.2'!$A$2:$D$52, 4, FALSE), "")="D",1,IF(IFERROR(VLOOKUP(A5, '4.2'!$A$2:$D$52, 4, FALSE), "")="E",0,"N/A"))))))))))))</f>
        <v>N/A</v>
      </c>
      <c r="L5" s="29" t="str">
        <f t="shared" si="1"/>
        <v>N/A</v>
      </c>
      <c r="M5" s="29">
        <f t="shared" si="2"/>
        <v>3.1779999999999999</v>
      </c>
      <c r="N5" s="29" t="str">
        <f t="shared" si="3"/>
        <v>General (90 Cr)</v>
      </c>
      <c r="O5" s="30" t="str">
        <f t="shared" si="4"/>
        <v>Second Class Lower</v>
      </c>
    </row>
    <row r="6" spans="1:15" x14ac:dyDescent="0.25">
      <c r="A6" s="27" t="s">
        <v>23</v>
      </c>
      <c r="B6" s="27" t="s">
        <v>24</v>
      </c>
      <c r="C6" s="27">
        <v>4</v>
      </c>
      <c r="D6" s="27">
        <v>3.77</v>
      </c>
      <c r="E6" s="28">
        <f>'2.1'!H6</f>
        <v>3.87</v>
      </c>
      <c r="F6" s="27">
        <v>3.44</v>
      </c>
      <c r="G6" s="27">
        <f>'3.1'!I6</f>
        <v>3.76</v>
      </c>
      <c r="H6" s="27">
        <v>3.84</v>
      </c>
      <c r="I6" s="29">
        <f t="shared" si="0"/>
        <v>3.78</v>
      </c>
      <c r="J6" s="29">
        <f>IFERROR(VLOOKUP(A6, '4.1'!$A$2:$O$52, 15, FALSE), "N/A")</f>
        <v>3.67</v>
      </c>
      <c r="K6" s="29">
        <f>IF(IFERROR(VLOOKUP(A6, '4.2'!$A$2:$D$52, 4, FALSE), "")="A+",4,IF(IFERROR(VLOOKUP(A6, '4.2'!$A$2:$D$52, 4, FALSE), "")="A",4,IF(IFERROR(VLOOKUP(A6, '4.2'!$A$2:$D$52, 4, FALSE), "")="A-",3.7,IF(IFERROR(VLOOKUP(A6, '4.2'!$A$2:$D$52, 4, FALSE), "")="B+",3.3,IF(IFERROR(VLOOKUP(A6, '4.2'!$A$2:$D$52, 4, FALSE), "")="B",3,IF(IFERROR(VLOOKUP(A6, '4.2'!$A$2:$D$52, 4, FALSE), "")="B-",2.7,IF(IFERROR(VLOOKUP(A6, '4.2'!$A$2:$D$52, 4, FALSE), "")="C+",2.3,IF(IFERROR(VLOOKUP(A6, '4.2'!$A$2:$D$52, 4, FALSE), "")="C",2,IF(IFERROR(VLOOKUP(A6, '4.2'!$A$2:$D$52, 4, FALSE), "")="C-",1.7,IF(IFERROR(VLOOKUP(A6, '4.2'!$A$2:$D$52, 4, FALSE), "")="D+",1.3,IF(IFERROR(VLOOKUP(A6, '4.2'!$A$2:$D$52, 4, FALSE), "")="D",1,IF(IFERROR(VLOOKUP(A6, '4.2'!$A$2:$D$52, 4, FALSE), "")="E",0,"N/A"))))))))))))</f>
        <v>4</v>
      </c>
      <c r="L6" s="29">
        <f t="shared" si="1"/>
        <v>3.7360000000000002</v>
      </c>
      <c r="M6" s="29">
        <f t="shared" si="2"/>
        <v>3.7690000000000001</v>
      </c>
      <c r="N6" s="29" t="str">
        <f t="shared" si="3"/>
        <v>Honours (120 Cr)</v>
      </c>
      <c r="O6" s="30" t="str">
        <f t="shared" si="4"/>
        <v>First Class</v>
      </c>
    </row>
    <row r="7" spans="1:15" x14ac:dyDescent="0.25">
      <c r="A7" s="27" t="s">
        <v>25</v>
      </c>
      <c r="B7" s="27" t="s">
        <v>26</v>
      </c>
      <c r="C7" s="27">
        <v>4</v>
      </c>
      <c r="D7" s="27">
        <v>3.6</v>
      </c>
      <c r="E7" s="28">
        <f>'2.1'!H7</f>
        <v>3.75</v>
      </c>
      <c r="F7" s="27">
        <v>3.66</v>
      </c>
      <c r="G7" s="27">
        <f>'3.1'!I7</f>
        <v>3.86</v>
      </c>
      <c r="H7" s="27">
        <v>3.8</v>
      </c>
      <c r="I7" s="29">
        <f t="shared" si="0"/>
        <v>3.778</v>
      </c>
      <c r="J7" s="29">
        <f>IFERROR(VLOOKUP(A7, '4.1'!$A$2:$O$52, 15, FALSE), "N/A")</f>
        <v>3.56</v>
      </c>
      <c r="K7" s="29">
        <f>IF(IFERROR(VLOOKUP(A7, '4.2'!$A$2:$D$52, 4, FALSE), "")="A+",4,IF(IFERROR(VLOOKUP(A7, '4.2'!$A$2:$D$52, 4, FALSE), "")="A",4,IF(IFERROR(VLOOKUP(A7, '4.2'!$A$2:$D$52, 4, FALSE), "")="A-",3.7,IF(IFERROR(VLOOKUP(A7, '4.2'!$A$2:$D$52, 4, FALSE), "")="B+",3.3,IF(IFERROR(VLOOKUP(A7, '4.2'!$A$2:$D$52, 4, FALSE), "")="B",3,IF(IFERROR(VLOOKUP(A7, '4.2'!$A$2:$D$52, 4, FALSE), "")="B-",2.7,IF(IFERROR(VLOOKUP(A7, '4.2'!$A$2:$D$52, 4, FALSE), "")="C+",2.3,IF(IFERROR(VLOOKUP(A7, '4.2'!$A$2:$D$52, 4, FALSE), "")="C",2,IF(IFERROR(VLOOKUP(A7, '4.2'!$A$2:$D$52, 4, FALSE), "")="C-",1.7,IF(IFERROR(VLOOKUP(A7, '4.2'!$A$2:$D$52, 4, FALSE), "")="D+",1.3,IF(IFERROR(VLOOKUP(A7, '4.2'!$A$2:$D$52, 4, FALSE), "")="D",1,IF(IFERROR(VLOOKUP(A7, '4.2'!$A$2:$D$52, 4, FALSE), "")="E",0,"N/A"))))))))))))</f>
        <v>4</v>
      </c>
      <c r="L7" s="29">
        <f t="shared" si="1"/>
        <v>3.6480000000000001</v>
      </c>
      <c r="M7" s="29">
        <f t="shared" si="2"/>
        <v>3.746</v>
      </c>
      <c r="N7" s="29" t="str">
        <f t="shared" si="3"/>
        <v>Honours (120 Cr)</v>
      </c>
      <c r="O7" s="30" t="str">
        <f t="shared" si="4"/>
        <v>First Class</v>
      </c>
    </row>
    <row r="8" spans="1:15" x14ac:dyDescent="0.25">
      <c r="A8" s="27" t="s">
        <v>27</v>
      </c>
      <c r="B8" s="27" t="s">
        <v>28</v>
      </c>
      <c r="C8" s="27">
        <v>3.04</v>
      </c>
      <c r="D8" s="27">
        <v>2.5</v>
      </c>
      <c r="E8" s="28">
        <f>'2.1'!H8</f>
        <v>2.68</v>
      </c>
      <c r="F8" s="27">
        <v>2.19</v>
      </c>
      <c r="G8" s="27">
        <f>'3.1'!I8</f>
        <v>2.75</v>
      </c>
      <c r="H8" s="27">
        <v>3.01</v>
      </c>
      <c r="I8" s="29">
        <f t="shared" si="0"/>
        <v>2.6949999999999998</v>
      </c>
      <c r="J8" s="29" t="str">
        <f>IFERROR(VLOOKUP(A8, '4.1'!$A$2:$O$52, 15, FALSE), "N/A")</f>
        <v>N/A</v>
      </c>
      <c r="K8" s="29" t="str">
        <f>IF(IFERROR(VLOOKUP(A8, '4.2'!$A$2:$D$52, 4, FALSE), "")="A+",4,IF(IFERROR(VLOOKUP(A8, '4.2'!$A$2:$D$52, 4, FALSE), "")="A",4,IF(IFERROR(VLOOKUP(A8, '4.2'!$A$2:$D$52, 4, FALSE), "")="A-",3.7,IF(IFERROR(VLOOKUP(A8, '4.2'!$A$2:$D$52, 4, FALSE), "")="B+",3.3,IF(IFERROR(VLOOKUP(A8, '4.2'!$A$2:$D$52, 4, FALSE), "")="B",3,IF(IFERROR(VLOOKUP(A8, '4.2'!$A$2:$D$52, 4, FALSE), "")="B-",2.7,IF(IFERROR(VLOOKUP(A8, '4.2'!$A$2:$D$52, 4, FALSE), "")="C+",2.3,IF(IFERROR(VLOOKUP(A8, '4.2'!$A$2:$D$52, 4, FALSE), "")="C",2,IF(IFERROR(VLOOKUP(A8, '4.2'!$A$2:$D$52, 4, FALSE), "")="C-",1.7,IF(IFERROR(VLOOKUP(A8, '4.2'!$A$2:$D$52, 4, FALSE), "")="D+",1.3,IF(IFERROR(VLOOKUP(A8, '4.2'!$A$2:$D$52, 4, FALSE), "")="D",1,IF(IFERROR(VLOOKUP(A8, '4.2'!$A$2:$D$52, 4, FALSE), "")="E",0,"N/A"))))))))))))</f>
        <v>N/A</v>
      </c>
      <c r="L8" s="29" t="str">
        <f t="shared" si="1"/>
        <v>N/A</v>
      </c>
      <c r="M8" s="29">
        <f t="shared" si="2"/>
        <v>2.6949999999999998</v>
      </c>
      <c r="N8" s="29" t="str">
        <f t="shared" si="3"/>
        <v>General (90 Cr)</v>
      </c>
      <c r="O8" s="30" t="str">
        <f t="shared" si="4"/>
        <v>General Pass</v>
      </c>
    </row>
    <row r="9" spans="1:15" x14ac:dyDescent="0.25">
      <c r="A9" s="27" t="s">
        <v>29</v>
      </c>
      <c r="B9" s="27" t="s">
        <v>30</v>
      </c>
      <c r="C9" s="27">
        <v>2.5299999999999998</v>
      </c>
      <c r="D9" s="27">
        <v>2.87</v>
      </c>
      <c r="E9" s="28">
        <f>'2.1'!H9</f>
        <v>2.35</v>
      </c>
      <c r="F9" s="27">
        <v>2.13</v>
      </c>
      <c r="G9" s="27">
        <f>'3.1'!I9</f>
        <v>2.4500000000000002</v>
      </c>
      <c r="H9" s="27">
        <v>2.48</v>
      </c>
      <c r="I9" s="29">
        <f t="shared" si="0"/>
        <v>2.468</v>
      </c>
      <c r="J9" s="29" t="str">
        <f>IFERROR(VLOOKUP(A9, '4.1'!$A$2:$O$52, 15, FALSE), "N/A")</f>
        <v>N/A</v>
      </c>
      <c r="K9" s="29" t="str">
        <f>IF(IFERROR(VLOOKUP(A9, '4.2'!$A$2:$D$52, 4, FALSE), "")="A+",4,IF(IFERROR(VLOOKUP(A9, '4.2'!$A$2:$D$52, 4, FALSE), "")="A",4,IF(IFERROR(VLOOKUP(A9, '4.2'!$A$2:$D$52, 4, FALSE), "")="A-",3.7,IF(IFERROR(VLOOKUP(A9, '4.2'!$A$2:$D$52, 4, FALSE), "")="B+",3.3,IF(IFERROR(VLOOKUP(A9, '4.2'!$A$2:$D$52, 4, FALSE), "")="B",3,IF(IFERROR(VLOOKUP(A9, '4.2'!$A$2:$D$52, 4, FALSE), "")="B-",2.7,IF(IFERROR(VLOOKUP(A9, '4.2'!$A$2:$D$52, 4, FALSE), "")="C+",2.3,IF(IFERROR(VLOOKUP(A9, '4.2'!$A$2:$D$52, 4, FALSE), "")="C",2,IF(IFERROR(VLOOKUP(A9, '4.2'!$A$2:$D$52, 4, FALSE), "")="C-",1.7,IF(IFERROR(VLOOKUP(A9, '4.2'!$A$2:$D$52, 4, FALSE), "")="D+",1.3,IF(IFERROR(VLOOKUP(A9, '4.2'!$A$2:$D$52, 4, FALSE), "")="D",1,IF(IFERROR(VLOOKUP(A9, '4.2'!$A$2:$D$52, 4, FALSE), "")="E",0,"N/A"))))))))))))</f>
        <v>N/A</v>
      </c>
      <c r="L9" s="29" t="str">
        <f t="shared" si="1"/>
        <v>N/A</v>
      </c>
      <c r="M9" s="29">
        <f t="shared" si="2"/>
        <v>2.468</v>
      </c>
      <c r="N9" s="29" t="str">
        <f t="shared" si="3"/>
        <v>General (90 Cr)</v>
      </c>
      <c r="O9" s="30" t="str">
        <f t="shared" si="4"/>
        <v>General Pass</v>
      </c>
    </row>
    <row r="10" spans="1:15" x14ac:dyDescent="0.25">
      <c r="A10" s="27" t="s">
        <v>31</v>
      </c>
      <c r="B10" s="27" t="s">
        <v>32</v>
      </c>
      <c r="C10" s="27">
        <v>3.77</v>
      </c>
      <c r="D10" s="27">
        <v>3.29</v>
      </c>
      <c r="E10" s="28">
        <f>'2.1'!H10</f>
        <v>2.94</v>
      </c>
      <c r="F10" s="27">
        <v>2.75</v>
      </c>
      <c r="G10" s="27">
        <f>'3.1'!I10</f>
        <v>3.21</v>
      </c>
      <c r="H10" s="27">
        <v>3.23</v>
      </c>
      <c r="I10" s="29">
        <f t="shared" si="0"/>
        <v>3.198</v>
      </c>
      <c r="J10" s="29" t="str">
        <f>IFERROR(VLOOKUP(A10, '4.1'!$A$2:$O$52, 15, FALSE), "N/A")</f>
        <v>N/A</v>
      </c>
      <c r="K10" s="29" t="str">
        <f>IF(IFERROR(VLOOKUP(A10, '4.2'!$A$2:$D$52, 4, FALSE), "")="A+",4,IF(IFERROR(VLOOKUP(A10, '4.2'!$A$2:$D$52, 4, FALSE), "")="A",4,IF(IFERROR(VLOOKUP(A10, '4.2'!$A$2:$D$52, 4, FALSE), "")="A-",3.7,IF(IFERROR(VLOOKUP(A10, '4.2'!$A$2:$D$52, 4, FALSE), "")="B+",3.3,IF(IFERROR(VLOOKUP(A10, '4.2'!$A$2:$D$52, 4, FALSE), "")="B",3,IF(IFERROR(VLOOKUP(A10, '4.2'!$A$2:$D$52, 4, FALSE), "")="B-",2.7,IF(IFERROR(VLOOKUP(A10, '4.2'!$A$2:$D$52, 4, FALSE), "")="C+",2.3,IF(IFERROR(VLOOKUP(A10, '4.2'!$A$2:$D$52, 4, FALSE), "")="C",2,IF(IFERROR(VLOOKUP(A10, '4.2'!$A$2:$D$52, 4, FALSE), "")="C-",1.7,IF(IFERROR(VLOOKUP(A10, '4.2'!$A$2:$D$52, 4, FALSE), "")="D+",1.3,IF(IFERROR(VLOOKUP(A10, '4.2'!$A$2:$D$52, 4, FALSE), "")="D",1,IF(IFERROR(VLOOKUP(A10, '4.2'!$A$2:$D$52, 4, FALSE), "")="E",0,"N/A"))))))))))))</f>
        <v>N/A</v>
      </c>
      <c r="L10" s="29" t="str">
        <f t="shared" si="1"/>
        <v>N/A</v>
      </c>
      <c r="M10" s="29">
        <f t="shared" si="2"/>
        <v>3.198</v>
      </c>
      <c r="N10" s="29" t="str">
        <f t="shared" si="3"/>
        <v>General (90 Cr)</v>
      </c>
      <c r="O10" s="30" t="str">
        <f t="shared" si="4"/>
        <v>Second Class Lower</v>
      </c>
    </row>
    <row r="11" spans="1:15" x14ac:dyDescent="0.25">
      <c r="A11" s="27" t="s">
        <v>33</v>
      </c>
      <c r="B11" s="27" t="s">
        <v>34</v>
      </c>
      <c r="C11" s="27">
        <v>3.69</v>
      </c>
      <c r="D11" s="27">
        <v>3.33</v>
      </c>
      <c r="E11" s="28">
        <f>'2.1'!H11</f>
        <v>3.25</v>
      </c>
      <c r="F11" s="27">
        <v>2.65</v>
      </c>
      <c r="G11" s="27">
        <f>'3.1'!I11</f>
        <v>3.61</v>
      </c>
      <c r="H11" s="27">
        <v>3.49</v>
      </c>
      <c r="I11" s="29">
        <f t="shared" si="0"/>
        <v>3.3370000000000002</v>
      </c>
      <c r="J11" s="29">
        <f>IFERROR(VLOOKUP(A11, '4.1'!$A$2:$O$52, 15, FALSE), "N/A")</f>
        <v>3.48</v>
      </c>
      <c r="K11" s="29">
        <f>IF(IFERROR(VLOOKUP(A11, '4.2'!$A$2:$D$52, 4, FALSE), "")="A+",4,IF(IFERROR(VLOOKUP(A11, '4.2'!$A$2:$D$52, 4, FALSE), "")="A",4,IF(IFERROR(VLOOKUP(A11, '4.2'!$A$2:$D$52, 4, FALSE), "")="A-",3.7,IF(IFERROR(VLOOKUP(A11, '4.2'!$A$2:$D$52, 4, FALSE), "")="B+",3.3,IF(IFERROR(VLOOKUP(A11, '4.2'!$A$2:$D$52, 4, FALSE), "")="B",3,IF(IFERROR(VLOOKUP(A11, '4.2'!$A$2:$D$52, 4, FALSE), "")="B-",2.7,IF(IFERROR(VLOOKUP(A11, '4.2'!$A$2:$D$52, 4, FALSE), "")="C+",2.3,IF(IFERROR(VLOOKUP(A11, '4.2'!$A$2:$D$52, 4, FALSE), "")="C",2,IF(IFERROR(VLOOKUP(A11, '4.2'!$A$2:$D$52, 4, FALSE), "")="C-",1.7,IF(IFERROR(VLOOKUP(A11, '4.2'!$A$2:$D$52, 4, FALSE), "")="D+",1.3,IF(IFERROR(VLOOKUP(A11, '4.2'!$A$2:$D$52, 4, FALSE), "")="D",1,IF(IFERROR(VLOOKUP(A11, '4.2'!$A$2:$D$52, 4, FALSE), "")="E",0,"N/A"))))))))))))</f>
        <v>3.7</v>
      </c>
      <c r="L11" s="29">
        <f t="shared" si="1"/>
        <v>3.524</v>
      </c>
      <c r="M11" s="29">
        <f t="shared" si="2"/>
        <v>3.3839999999999999</v>
      </c>
      <c r="N11" s="29" t="str">
        <f t="shared" si="3"/>
        <v>Honours (120 Cr)</v>
      </c>
      <c r="O11" s="30" t="str">
        <f t="shared" si="4"/>
        <v>Second Class Upper</v>
      </c>
    </row>
    <row r="12" spans="1:15" x14ac:dyDescent="0.25">
      <c r="A12" s="27" t="s">
        <v>35</v>
      </c>
      <c r="B12" s="27" t="s">
        <v>36</v>
      </c>
      <c r="C12" s="27">
        <v>3.69</v>
      </c>
      <c r="D12" s="27">
        <v>3.06</v>
      </c>
      <c r="E12" s="28">
        <f>'2.1'!H12</f>
        <v>2.3199999999999998</v>
      </c>
      <c r="F12" s="27">
        <v>2.4900000000000002</v>
      </c>
      <c r="G12" s="27">
        <f>'3.1'!I12</f>
        <v>3.31</v>
      </c>
      <c r="H12" s="27">
        <v>3.27</v>
      </c>
      <c r="I12" s="29">
        <f t="shared" si="0"/>
        <v>3.0230000000000001</v>
      </c>
      <c r="J12" s="29" t="str">
        <f>IFERROR(VLOOKUP(A12, '4.1'!$A$2:$O$52, 15, FALSE), "N/A")</f>
        <v>N/A</v>
      </c>
      <c r="K12" s="29" t="str">
        <f>IF(IFERROR(VLOOKUP(A12, '4.2'!$A$2:$D$52, 4, FALSE), "")="A+",4,IF(IFERROR(VLOOKUP(A12, '4.2'!$A$2:$D$52, 4, FALSE), "")="A",4,IF(IFERROR(VLOOKUP(A12, '4.2'!$A$2:$D$52, 4, FALSE), "")="A-",3.7,IF(IFERROR(VLOOKUP(A12, '4.2'!$A$2:$D$52, 4, FALSE), "")="B+",3.3,IF(IFERROR(VLOOKUP(A12, '4.2'!$A$2:$D$52, 4, FALSE), "")="B",3,IF(IFERROR(VLOOKUP(A12, '4.2'!$A$2:$D$52, 4, FALSE), "")="B-",2.7,IF(IFERROR(VLOOKUP(A12, '4.2'!$A$2:$D$52, 4, FALSE), "")="C+",2.3,IF(IFERROR(VLOOKUP(A12, '4.2'!$A$2:$D$52, 4, FALSE), "")="C",2,IF(IFERROR(VLOOKUP(A12, '4.2'!$A$2:$D$52, 4, FALSE), "")="C-",1.7,IF(IFERROR(VLOOKUP(A12, '4.2'!$A$2:$D$52, 4, FALSE), "")="D+",1.3,IF(IFERROR(VLOOKUP(A12, '4.2'!$A$2:$D$52, 4, FALSE), "")="D",1,IF(IFERROR(VLOOKUP(A12, '4.2'!$A$2:$D$52, 4, FALSE), "")="E",0,"N/A"))))))))))))</f>
        <v>N/A</v>
      </c>
      <c r="L12" s="29" t="str">
        <f t="shared" si="1"/>
        <v>N/A</v>
      </c>
      <c r="M12" s="29">
        <f t="shared" si="2"/>
        <v>3.0230000000000001</v>
      </c>
      <c r="N12" s="29" t="str">
        <f t="shared" si="3"/>
        <v>General (90 Cr)</v>
      </c>
      <c r="O12" s="30" t="str">
        <f t="shared" si="4"/>
        <v>Second Class Lower</v>
      </c>
    </row>
    <row r="13" spans="1:15" x14ac:dyDescent="0.25">
      <c r="A13" s="27" t="s">
        <v>37</v>
      </c>
      <c r="B13" s="27" t="s">
        <v>38</v>
      </c>
      <c r="C13" s="27">
        <v>3.64</v>
      </c>
      <c r="D13" s="27">
        <v>3.24</v>
      </c>
      <c r="E13" s="28">
        <f>'2.1'!H13</f>
        <v>3.43</v>
      </c>
      <c r="F13" s="27">
        <v>2.42</v>
      </c>
      <c r="G13" s="27">
        <f>'3.1'!I13</f>
        <v>3.33</v>
      </c>
      <c r="H13" s="27">
        <v>3.27</v>
      </c>
      <c r="I13" s="29">
        <f t="shared" si="0"/>
        <v>3.222</v>
      </c>
      <c r="J13" s="29">
        <f>IFERROR(VLOOKUP(A13, '4.1'!$A$2:$O$52, 15, FALSE), "N/A")</f>
        <v>3.64</v>
      </c>
      <c r="K13" s="29">
        <f>IF(IFERROR(VLOOKUP(A13, '4.2'!$A$2:$D$52, 4, FALSE), "")="A+",4,IF(IFERROR(VLOOKUP(A13, '4.2'!$A$2:$D$52, 4, FALSE), "")="A",4,IF(IFERROR(VLOOKUP(A13, '4.2'!$A$2:$D$52, 4, FALSE), "")="A-",3.7,IF(IFERROR(VLOOKUP(A13, '4.2'!$A$2:$D$52, 4, FALSE), "")="B+",3.3,IF(IFERROR(VLOOKUP(A13, '4.2'!$A$2:$D$52, 4, FALSE), "")="B",3,IF(IFERROR(VLOOKUP(A13, '4.2'!$A$2:$D$52, 4, FALSE), "")="B-",2.7,IF(IFERROR(VLOOKUP(A13, '4.2'!$A$2:$D$52, 4, FALSE), "")="C+",2.3,IF(IFERROR(VLOOKUP(A13, '4.2'!$A$2:$D$52, 4, FALSE), "")="C",2,IF(IFERROR(VLOOKUP(A13, '4.2'!$A$2:$D$52, 4, FALSE), "")="C-",1.7,IF(IFERROR(VLOOKUP(A13, '4.2'!$A$2:$D$52, 4, FALSE), "")="D+",1.3,IF(IFERROR(VLOOKUP(A13, '4.2'!$A$2:$D$52, 4, FALSE), "")="D",1,IF(IFERROR(VLOOKUP(A13, '4.2'!$A$2:$D$52, 4, FALSE), "")="E",0,"N/A"))))))))))))</f>
        <v>3.7</v>
      </c>
      <c r="L13" s="29">
        <f t="shared" si="1"/>
        <v>3.6520000000000001</v>
      </c>
      <c r="M13" s="29">
        <f t="shared" si="2"/>
        <v>3.33</v>
      </c>
      <c r="N13" s="29" t="str">
        <f t="shared" si="3"/>
        <v>Honours (120 Cr)</v>
      </c>
      <c r="O13" s="30" t="str">
        <f t="shared" si="4"/>
        <v>Second Class Upper</v>
      </c>
    </row>
    <row r="14" spans="1:15" x14ac:dyDescent="0.25">
      <c r="A14" s="27" t="s">
        <v>39</v>
      </c>
      <c r="B14" s="27" t="s">
        <v>40</v>
      </c>
      <c r="C14" s="27">
        <v>3.22</v>
      </c>
      <c r="D14" s="27">
        <v>3.33</v>
      </c>
      <c r="E14" s="28">
        <f>'2.1'!H14</f>
        <v>2.98</v>
      </c>
      <c r="F14" s="27">
        <v>2.65</v>
      </c>
      <c r="G14" s="27">
        <f>'3.1'!I14</f>
        <v>3.08</v>
      </c>
      <c r="H14" s="27">
        <v>3.47</v>
      </c>
      <c r="I14" s="29">
        <f t="shared" si="0"/>
        <v>3.1219999999999999</v>
      </c>
      <c r="J14" s="29">
        <f>IFERROR(VLOOKUP(A14, '4.1'!$A$2:$O$52, 15, FALSE), "N/A")</f>
        <v>3.47</v>
      </c>
      <c r="K14" s="29">
        <f>IF(IFERROR(VLOOKUP(A14, '4.2'!$A$2:$D$52, 4, FALSE), "")="A+",4,IF(IFERROR(VLOOKUP(A14, '4.2'!$A$2:$D$52, 4, FALSE), "")="A",4,IF(IFERROR(VLOOKUP(A14, '4.2'!$A$2:$D$52, 4, FALSE), "")="A-",3.7,IF(IFERROR(VLOOKUP(A14, '4.2'!$A$2:$D$52, 4, FALSE), "")="B+",3.3,IF(IFERROR(VLOOKUP(A14, '4.2'!$A$2:$D$52, 4, FALSE), "")="B",3,IF(IFERROR(VLOOKUP(A14, '4.2'!$A$2:$D$52, 4, FALSE), "")="B-",2.7,IF(IFERROR(VLOOKUP(A14, '4.2'!$A$2:$D$52, 4, FALSE), "")="C+",2.3,IF(IFERROR(VLOOKUP(A14, '4.2'!$A$2:$D$52, 4, FALSE), "")="C",2,IF(IFERROR(VLOOKUP(A14, '4.2'!$A$2:$D$52, 4, FALSE), "")="C-",1.7,IF(IFERROR(VLOOKUP(A14, '4.2'!$A$2:$D$52, 4, FALSE), "")="D+",1.3,IF(IFERROR(VLOOKUP(A14, '4.2'!$A$2:$D$52, 4, FALSE), "")="D",1,IF(IFERROR(VLOOKUP(A14, '4.2'!$A$2:$D$52, 4, FALSE), "")="E",0,"N/A"))))))))))))</f>
        <v>4</v>
      </c>
      <c r="L14" s="29">
        <f t="shared" si="1"/>
        <v>3.5760000000000001</v>
      </c>
      <c r="M14" s="29">
        <f t="shared" si="2"/>
        <v>3.2360000000000002</v>
      </c>
      <c r="N14" s="29" t="str">
        <f t="shared" si="3"/>
        <v>Honours (120 Cr)</v>
      </c>
      <c r="O14" s="30" t="str">
        <f t="shared" si="4"/>
        <v>Second Class Lower</v>
      </c>
    </row>
    <row r="15" spans="1:15" x14ac:dyDescent="0.25">
      <c r="A15" s="27" t="s">
        <v>41</v>
      </c>
      <c r="B15" s="27" t="s">
        <v>42</v>
      </c>
      <c r="C15" s="27">
        <v>3.44</v>
      </c>
      <c r="D15" s="27">
        <v>3.11</v>
      </c>
      <c r="E15" s="28">
        <f>'2.1'!H15</f>
        <v>3.37</v>
      </c>
      <c r="F15" s="27">
        <v>2.77</v>
      </c>
      <c r="G15" s="27">
        <f>'3.1'!I15</f>
        <v>3.41</v>
      </c>
      <c r="H15" s="27">
        <v>3.23</v>
      </c>
      <c r="I15" s="29">
        <f t="shared" si="0"/>
        <v>3.222</v>
      </c>
      <c r="J15" s="29">
        <f>IFERROR(VLOOKUP(A15, '4.1'!$A$2:$O$52, 15, FALSE), "N/A")</f>
        <v>3.38</v>
      </c>
      <c r="K15" s="29">
        <f>IF(IFERROR(VLOOKUP(A15, '4.2'!$A$2:$D$52, 4, FALSE), "")="A+",4,IF(IFERROR(VLOOKUP(A15, '4.2'!$A$2:$D$52, 4, FALSE), "")="A",4,IF(IFERROR(VLOOKUP(A15, '4.2'!$A$2:$D$52, 4, FALSE), "")="A-",3.7,IF(IFERROR(VLOOKUP(A15, '4.2'!$A$2:$D$52, 4, FALSE), "")="B+",3.3,IF(IFERROR(VLOOKUP(A15, '4.2'!$A$2:$D$52, 4, FALSE), "")="B",3,IF(IFERROR(VLOOKUP(A15, '4.2'!$A$2:$D$52, 4, FALSE), "")="B-",2.7,IF(IFERROR(VLOOKUP(A15, '4.2'!$A$2:$D$52, 4, FALSE), "")="C+",2.3,IF(IFERROR(VLOOKUP(A15, '4.2'!$A$2:$D$52, 4, FALSE), "")="C",2,IF(IFERROR(VLOOKUP(A15, '4.2'!$A$2:$D$52, 4, FALSE), "")="C-",1.7,IF(IFERROR(VLOOKUP(A15, '4.2'!$A$2:$D$52, 4, FALSE), "")="D+",1.3,IF(IFERROR(VLOOKUP(A15, '4.2'!$A$2:$D$52, 4, FALSE), "")="D",1,IF(IFERROR(VLOOKUP(A15, '4.2'!$A$2:$D$52, 4, FALSE), "")="E",0,"N/A"))))))))))))</f>
        <v>4</v>
      </c>
      <c r="L15" s="29">
        <f t="shared" si="1"/>
        <v>3.504</v>
      </c>
      <c r="M15" s="29">
        <f t="shared" si="2"/>
        <v>3.2930000000000001</v>
      </c>
      <c r="N15" s="29" t="str">
        <f t="shared" si="3"/>
        <v>Honours (120 Cr)</v>
      </c>
      <c r="O15" s="30" t="str">
        <f t="shared" si="4"/>
        <v>Second Class Lower</v>
      </c>
    </row>
    <row r="16" spans="1:15" x14ac:dyDescent="0.25">
      <c r="A16" s="27" t="s">
        <v>43</v>
      </c>
      <c r="B16" s="27" t="s">
        <v>44</v>
      </c>
      <c r="C16" s="27">
        <v>1.98</v>
      </c>
      <c r="D16" s="27">
        <v>1.98</v>
      </c>
      <c r="E16" s="28">
        <f>'2.1'!H16</f>
        <v>2.06</v>
      </c>
      <c r="F16" s="27">
        <v>2.0099999999999998</v>
      </c>
      <c r="G16" s="27">
        <f>'3.1'!I16</f>
        <v>2.11</v>
      </c>
      <c r="H16" s="27">
        <v>2.25</v>
      </c>
      <c r="I16" s="29">
        <f t="shared" si="0"/>
        <v>2.0649999999999999</v>
      </c>
      <c r="J16" s="29" t="str">
        <f>IFERROR(VLOOKUP(A16, '4.1'!$A$2:$O$52, 15, FALSE), "N/A")</f>
        <v>N/A</v>
      </c>
      <c r="K16" s="29" t="str">
        <f>IF(IFERROR(VLOOKUP(A16, '4.2'!$A$2:$D$52, 4, FALSE), "")="A+",4,IF(IFERROR(VLOOKUP(A16, '4.2'!$A$2:$D$52, 4, FALSE), "")="A",4,IF(IFERROR(VLOOKUP(A16, '4.2'!$A$2:$D$52, 4, FALSE), "")="A-",3.7,IF(IFERROR(VLOOKUP(A16, '4.2'!$A$2:$D$52, 4, FALSE), "")="B+",3.3,IF(IFERROR(VLOOKUP(A16, '4.2'!$A$2:$D$52, 4, FALSE), "")="B",3,IF(IFERROR(VLOOKUP(A16, '4.2'!$A$2:$D$52, 4, FALSE), "")="B-",2.7,IF(IFERROR(VLOOKUP(A16, '4.2'!$A$2:$D$52, 4, FALSE), "")="C+",2.3,IF(IFERROR(VLOOKUP(A16, '4.2'!$A$2:$D$52, 4, FALSE), "")="C",2,IF(IFERROR(VLOOKUP(A16, '4.2'!$A$2:$D$52, 4, FALSE), "")="C-",1.7,IF(IFERROR(VLOOKUP(A16, '4.2'!$A$2:$D$52, 4, FALSE), "")="D+",1.3,IF(IFERROR(VLOOKUP(A16, '4.2'!$A$2:$D$52, 4, FALSE), "")="D",1,IF(IFERROR(VLOOKUP(A16, '4.2'!$A$2:$D$52, 4, FALSE), "")="E",0,"N/A"))))))))))))</f>
        <v>N/A</v>
      </c>
      <c r="L16" s="29" t="str">
        <f t="shared" si="1"/>
        <v>N/A</v>
      </c>
      <c r="M16" s="29">
        <f t="shared" si="2"/>
        <v>2.0649999999999999</v>
      </c>
      <c r="N16" s="29" t="str">
        <f t="shared" si="3"/>
        <v>General (90 Cr)</v>
      </c>
      <c r="O16" s="30" t="str">
        <f t="shared" si="4"/>
        <v>General Pass</v>
      </c>
    </row>
    <row r="17" spans="1:15" x14ac:dyDescent="0.25">
      <c r="A17" s="27" t="s">
        <v>45</v>
      </c>
      <c r="B17" s="27" t="s">
        <v>46</v>
      </c>
      <c r="C17" s="27">
        <v>3.5</v>
      </c>
      <c r="D17" s="27">
        <v>3.35</v>
      </c>
      <c r="E17" s="28">
        <f>'2.1'!H17</f>
        <v>3.9</v>
      </c>
      <c r="F17" s="27">
        <v>3.18</v>
      </c>
      <c r="G17" s="27">
        <f>'3.1'!I17</f>
        <v>3.6</v>
      </c>
      <c r="H17" s="27">
        <v>3.53</v>
      </c>
      <c r="I17" s="29">
        <f t="shared" si="0"/>
        <v>3.51</v>
      </c>
      <c r="J17" s="29">
        <f>IFERROR(VLOOKUP(A17, '4.1'!$A$2:$O$52, 15, FALSE), "N/A")</f>
        <v>3.6</v>
      </c>
      <c r="K17" s="29">
        <f>IF(IFERROR(VLOOKUP(A17, '4.2'!$A$2:$D$52, 4, FALSE), "")="A+",4,IF(IFERROR(VLOOKUP(A17, '4.2'!$A$2:$D$52, 4, FALSE), "")="A",4,IF(IFERROR(VLOOKUP(A17, '4.2'!$A$2:$D$52, 4, FALSE), "")="A-",3.7,IF(IFERROR(VLOOKUP(A17, '4.2'!$A$2:$D$52, 4, FALSE), "")="B+",3.3,IF(IFERROR(VLOOKUP(A17, '4.2'!$A$2:$D$52, 4, FALSE), "")="B",3,IF(IFERROR(VLOOKUP(A17, '4.2'!$A$2:$D$52, 4, FALSE), "")="B-",2.7,IF(IFERROR(VLOOKUP(A17, '4.2'!$A$2:$D$52, 4, FALSE), "")="C+",2.3,IF(IFERROR(VLOOKUP(A17, '4.2'!$A$2:$D$52, 4, FALSE), "")="C",2,IF(IFERROR(VLOOKUP(A17, '4.2'!$A$2:$D$52, 4, FALSE), "")="C-",1.7,IF(IFERROR(VLOOKUP(A17, '4.2'!$A$2:$D$52, 4, FALSE), "")="D+",1.3,IF(IFERROR(VLOOKUP(A17, '4.2'!$A$2:$D$52, 4, FALSE), "")="D",1,IF(IFERROR(VLOOKUP(A17, '4.2'!$A$2:$D$52, 4, FALSE), "")="E",0,"N/A"))))))))))))</f>
        <v>4</v>
      </c>
      <c r="L17" s="29">
        <f t="shared" si="1"/>
        <v>3.68</v>
      </c>
      <c r="M17" s="29">
        <f t="shared" si="2"/>
        <v>3.5529999999999999</v>
      </c>
      <c r="N17" s="29" t="str">
        <f t="shared" si="3"/>
        <v>Honours (120 Cr)</v>
      </c>
      <c r="O17" s="30" t="str">
        <f t="shared" si="4"/>
        <v>Second Class Upper</v>
      </c>
    </row>
    <row r="18" spans="1:15" x14ac:dyDescent="0.25">
      <c r="A18" s="27" t="s">
        <v>47</v>
      </c>
      <c r="B18" s="27" t="s">
        <v>48</v>
      </c>
      <c r="C18" s="27">
        <v>3.87</v>
      </c>
      <c r="D18" s="27">
        <v>3.33</v>
      </c>
      <c r="E18" s="28">
        <f>'2.1'!H18</f>
        <v>3.65</v>
      </c>
      <c r="F18" s="27">
        <v>3.38</v>
      </c>
      <c r="G18" s="27">
        <f>'3.1'!I18</f>
        <v>3.84</v>
      </c>
      <c r="H18" s="27">
        <v>3.74</v>
      </c>
      <c r="I18" s="29">
        <f t="shared" si="0"/>
        <v>3.6349999999999998</v>
      </c>
      <c r="J18" s="29">
        <f>IFERROR(VLOOKUP(A18, '4.1'!$A$2:$O$52, 15, FALSE), "N/A")</f>
        <v>3.73</v>
      </c>
      <c r="K18" s="29">
        <f>IF(IFERROR(VLOOKUP(A18, '4.2'!$A$2:$D$52, 4, FALSE), "")="A+",4,IF(IFERROR(VLOOKUP(A18, '4.2'!$A$2:$D$52, 4, FALSE), "")="A",4,IF(IFERROR(VLOOKUP(A18, '4.2'!$A$2:$D$52, 4, FALSE), "")="A-",3.7,IF(IFERROR(VLOOKUP(A18, '4.2'!$A$2:$D$52, 4, FALSE), "")="B+",3.3,IF(IFERROR(VLOOKUP(A18, '4.2'!$A$2:$D$52, 4, FALSE), "")="B",3,IF(IFERROR(VLOOKUP(A18, '4.2'!$A$2:$D$52, 4, FALSE), "")="B-",2.7,IF(IFERROR(VLOOKUP(A18, '4.2'!$A$2:$D$52, 4, FALSE), "")="C+",2.3,IF(IFERROR(VLOOKUP(A18, '4.2'!$A$2:$D$52, 4, FALSE), "")="C",2,IF(IFERROR(VLOOKUP(A18, '4.2'!$A$2:$D$52, 4, FALSE), "")="C-",1.7,IF(IFERROR(VLOOKUP(A18, '4.2'!$A$2:$D$52, 4, FALSE), "")="D+",1.3,IF(IFERROR(VLOOKUP(A18, '4.2'!$A$2:$D$52, 4, FALSE), "")="D",1,IF(IFERROR(VLOOKUP(A18, '4.2'!$A$2:$D$52, 4, FALSE), "")="E",0,"N/A"))))))))))))</f>
        <v>4</v>
      </c>
      <c r="L18" s="29">
        <f t="shared" si="1"/>
        <v>3.7839999999999998</v>
      </c>
      <c r="M18" s="29">
        <f t="shared" si="2"/>
        <v>3.6720000000000002</v>
      </c>
      <c r="N18" s="29" t="str">
        <f t="shared" si="3"/>
        <v>Honours (120 Cr)</v>
      </c>
      <c r="O18" s="30" t="str">
        <f t="shared" si="4"/>
        <v>Second Class Upper</v>
      </c>
    </row>
    <row r="19" spans="1:15" x14ac:dyDescent="0.25">
      <c r="A19" s="27" t="s">
        <v>49</v>
      </c>
      <c r="B19" s="27" t="s">
        <v>50</v>
      </c>
      <c r="C19" s="27">
        <v>3.45</v>
      </c>
      <c r="D19" s="27">
        <v>2.59</v>
      </c>
      <c r="E19" s="28">
        <f>'2.1'!H19</f>
        <v>2</v>
      </c>
      <c r="F19" s="27">
        <v>1.87</v>
      </c>
      <c r="G19" s="27">
        <f>'3.1'!I19</f>
        <v>2.52</v>
      </c>
      <c r="H19" s="27">
        <v>2.64</v>
      </c>
      <c r="I19" s="29">
        <f t="shared" si="0"/>
        <v>2.512</v>
      </c>
      <c r="J19" s="29" t="str">
        <f>IFERROR(VLOOKUP(A19, '4.1'!$A$2:$O$52, 15, FALSE), "N/A")</f>
        <v>N/A</v>
      </c>
      <c r="K19" s="29" t="str">
        <f>IF(IFERROR(VLOOKUP(A19, '4.2'!$A$2:$D$52, 4, FALSE), "")="A+",4,IF(IFERROR(VLOOKUP(A19, '4.2'!$A$2:$D$52, 4, FALSE), "")="A",4,IF(IFERROR(VLOOKUP(A19, '4.2'!$A$2:$D$52, 4, FALSE), "")="A-",3.7,IF(IFERROR(VLOOKUP(A19, '4.2'!$A$2:$D$52, 4, FALSE), "")="B+",3.3,IF(IFERROR(VLOOKUP(A19, '4.2'!$A$2:$D$52, 4, FALSE), "")="B",3,IF(IFERROR(VLOOKUP(A19, '4.2'!$A$2:$D$52, 4, FALSE), "")="B-",2.7,IF(IFERROR(VLOOKUP(A19, '4.2'!$A$2:$D$52, 4, FALSE), "")="C+",2.3,IF(IFERROR(VLOOKUP(A19, '4.2'!$A$2:$D$52, 4, FALSE), "")="C",2,IF(IFERROR(VLOOKUP(A19, '4.2'!$A$2:$D$52, 4, FALSE), "")="C-",1.7,IF(IFERROR(VLOOKUP(A19, '4.2'!$A$2:$D$52, 4, FALSE), "")="D+",1.3,IF(IFERROR(VLOOKUP(A19, '4.2'!$A$2:$D$52, 4, FALSE), "")="D",1,IF(IFERROR(VLOOKUP(A19, '4.2'!$A$2:$D$52, 4, FALSE), "")="E",0,"N/A"))))))))))))</f>
        <v>N/A</v>
      </c>
      <c r="L19" s="29" t="str">
        <f t="shared" si="1"/>
        <v>N/A</v>
      </c>
      <c r="M19" s="29">
        <f t="shared" si="2"/>
        <v>2.512</v>
      </c>
      <c r="N19" s="29" t="str">
        <f t="shared" si="3"/>
        <v>General (90 Cr)</v>
      </c>
      <c r="O19" s="30" t="str">
        <f t="shared" si="4"/>
        <v>General Pass</v>
      </c>
    </row>
    <row r="20" spans="1:15" x14ac:dyDescent="0.25">
      <c r="A20" s="27" t="s">
        <v>51</v>
      </c>
      <c r="B20" s="27" t="s">
        <v>52</v>
      </c>
      <c r="C20" s="27">
        <v>3.88</v>
      </c>
      <c r="D20" s="27">
        <v>3.92</v>
      </c>
      <c r="E20" s="28">
        <f>'2.1'!H20</f>
        <v>3.24</v>
      </c>
      <c r="F20" s="27">
        <v>2.82</v>
      </c>
      <c r="G20" s="27">
        <f>'3.1'!I20</f>
        <v>3.6</v>
      </c>
      <c r="H20" s="27">
        <v>3.31</v>
      </c>
      <c r="I20" s="29">
        <f t="shared" si="0"/>
        <v>3.4620000000000002</v>
      </c>
      <c r="J20" s="29">
        <f>IFERROR(VLOOKUP(A20, '4.1'!$A$2:$O$52, 15, FALSE), "N/A")</f>
        <v>3.52</v>
      </c>
      <c r="K20" s="29">
        <f>IF(IFERROR(VLOOKUP(A20, '4.2'!$A$2:$D$52, 4, FALSE), "")="A+",4,IF(IFERROR(VLOOKUP(A20, '4.2'!$A$2:$D$52, 4, FALSE), "")="A",4,IF(IFERROR(VLOOKUP(A20, '4.2'!$A$2:$D$52, 4, FALSE), "")="A-",3.7,IF(IFERROR(VLOOKUP(A20, '4.2'!$A$2:$D$52, 4, FALSE), "")="B+",3.3,IF(IFERROR(VLOOKUP(A20, '4.2'!$A$2:$D$52, 4, FALSE), "")="B",3,IF(IFERROR(VLOOKUP(A20, '4.2'!$A$2:$D$52, 4, FALSE), "")="B-",2.7,IF(IFERROR(VLOOKUP(A20, '4.2'!$A$2:$D$52, 4, FALSE), "")="C+",2.3,IF(IFERROR(VLOOKUP(A20, '4.2'!$A$2:$D$52, 4, FALSE), "")="C",2,IF(IFERROR(VLOOKUP(A20, '4.2'!$A$2:$D$52, 4, FALSE), "")="C-",1.7,IF(IFERROR(VLOOKUP(A20, '4.2'!$A$2:$D$52, 4, FALSE), "")="D+",1.3,IF(IFERROR(VLOOKUP(A20, '4.2'!$A$2:$D$52, 4, FALSE), "")="D",1,IF(IFERROR(VLOOKUP(A20, '4.2'!$A$2:$D$52, 4, FALSE), "")="E",0,"N/A"))))))))))))</f>
        <v>4</v>
      </c>
      <c r="L20" s="29">
        <f t="shared" si="1"/>
        <v>3.6160000000000001</v>
      </c>
      <c r="M20" s="29">
        <f t="shared" si="2"/>
        <v>3.5009999999999999</v>
      </c>
      <c r="N20" s="29" t="str">
        <f t="shared" si="3"/>
        <v>Honours (120 Cr)</v>
      </c>
      <c r="O20" s="30" t="str">
        <f t="shared" si="4"/>
        <v>Second Class Upper</v>
      </c>
    </row>
    <row r="21" spans="1:15" ht="15.75" customHeight="1" x14ac:dyDescent="0.25">
      <c r="A21" s="27" t="s">
        <v>53</v>
      </c>
      <c r="B21" s="27" t="s">
        <v>54</v>
      </c>
      <c r="C21" s="27">
        <v>3.75</v>
      </c>
      <c r="D21" s="27">
        <v>3.61</v>
      </c>
      <c r="E21" s="28">
        <f>'2.1'!H21</f>
        <v>3.91</v>
      </c>
      <c r="F21" s="27">
        <v>3.59</v>
      </c>
      <c r="G21" s="27">
        <f>'3.1'!I21</f>
        <v>3.82</v>
      </c>
      <c r="H21" s="27">
        <v>3.84</v>
      </c>
      <c r="I21" s="29">
        <f t="shared" si="0"/>
        <v>3.7530000000000001</v>
      </c>
      <c r="J21" s="29">
        <f>IFERROR(VLOOKUP(A21, '4.1'!$A$2:$O$52, 15, FALSE), "N/A")</f>
        <v>3.7</v>
      </c>
      <c r="K21" s="29">
        <f>IF(IFERROR(VLOOKUP(A21, '4.2'!$A$2:$D$52, 4, FALSE), "")="A+",4,IF(IFERROR(VLOOKUP(A21, '4.2'!$A$2:$D$52, 4, FALSE), "")="A",4,IF(IFERROR(VLOOKUP(A21, '4.2'!$A$2:$D$52, 4, FALSE), "")="A-",3.7,IF(IFERROR(VLOOKUP(A21, '4.2'!$A$2:$D$52, 4, FALSE), "")="B+",3.3,IF(IFERROR(VLOOKUP(A21, '4.2'!$A$2:$D$52, 4, FALSE), "")="B",3,IF(IFERROR(VLOOKUP(A21, '4.2'!$A$2:$D$52, 4, FALSE), "")="B-",2.7,IF(IFERROR(VLOOKUP(A21, '4.2'!$A$2:$D$52, 4, FALSE), "")="C+",2.3,IF(IFERROR(VLOOKUP(A21, '4.2'!$A$2:$D$52, 4, FALSE), "")="C",2,IF(IFERROR(VLOOKUP(A21, '4.2'!$A$2:$D$52, 4, FALSE), "")="C-",1.7,IF(IFERROR(VLOOKUP(A21, '4.2'!$A$2:$D$52, 4, FALSE), "")="D+",1.3,IF(IFERROR(VLOOKUP(A21, '4.2'!$A$2:$D$52, 4, FALSE), "")="D",1,IF(IFERROR(VLOOKUP(A21, '4.2'!$A$2:$D$52, 4, FALSE), "")="E",0,"N/A"))))))))))))</f>
        <v>3.7</v>
      </c>
      <c r="L21" s="29">
        <f t="shared" si="1"/>
        <v>3.7</v>
      </c>
      <c r="M21" s="29">
        <f t="shared" si="2"/>
        <v>3.74</v>
      </c>
      <c r="N21" s="29" t="str">
        <f t="shared" si="3"/>
        <v>Honours (120 Cr)</v>
      </c>
      <c r="O21" s="30" t="str">
        <f t="shared" si="4"/>
        <v>First Class</v>
      </c>
    </row>
    <row r="22" spans="1:15" ht="15.75" customHeight="1" x14ac:dyDescent="0.25">
      <c r="A22" s="27" t="s">
        <v>55</v>
      </c>
      <c r="B22" s="27" t="s">
        <v>56</v>
      </c>
      <c r="C22" s="27">
        <v>2.65</v>
      </c>
      <c r="D22" s="27">
        <v>2.83</v>
      </c>
      <c r="E22" s="28">
        <f>'2.1'!H22</f>
        <v>2.84</v>
      </c>
      <c r="F22" s="27">
        <v>2.79</v>
      </c>
      <c r="G22" s="27">
        <f>'3.1'!I22</f>
        <v>3.11</v>
      </c>
      <c r="H22" s="27">
        <v>2.76</v>
      </c>
      <c r="I22" s="29">
        <f t="shared" si="0"/>
        <v>2.83</v>
      </c>
      <c r="J22" s="29" t="str">
        <f>IFERROR(VLOOKUP(A22, '4.1'!$A$2:$O$52, 15, FALSE), "N/A")</f>
        <v>N/A</v>
      </c>
      <c r="K22" s="29" t="str">
        <f>IF(IFERROR(VLOOKUP(A22, '4.2'!$A$2:$D$52, 4, FALSE), "")="A+",4,IF(IFERROR(VLOOKUP(A22, '4.2'!$A$2:$D$52, 4, FALSE), "")="A",4,IF(IFERROR(VLOOKUP(A22, '4.2'!$A$2:$D$52, 4, FALSE), "")="A-",3.7,IF(IFERROR(VLOOKUP(A22, '4.2'!$A$2:$D$52, 4, FALSE), "")="B+",3.3,IF(IFERROR(VLOOKUP(A22, '4.2'!$A$2:$D$52, 4, FALSE), "")="B",3,IF(IFERROR(VLOOKUP(A22, '4.2'!$A$2:$D$52, 4, FALSE), "")="B-",2.7,IF(IFERROR(VLOOKUP(A22, '4.2'!$A$2:$D$52, 4, FALSE), "")="C+",2.3,IF(IFERROR(VLOOKUP(A22, '4.2'!$A$2:$D$52, 4, FALSE), "")="C",2,IF(IFERROR(VLOOKUP(A22, '4.2'!$A$2:$D$52, 4, FALSE), "")="C-",1.7,IF(IFERROR(VLOOKUP(A22, '4.2'!$A$2:$D$52, 4, FALSE), "")="D+",1.3,IF(IFERROR(VLOOKUP(A22, '4.2'!$A$2:$D$52, 4, FALSE), "")="D",1,IF(IFERROR(VLOOKUP(A22, '4.2'!$A$2:$D$52, 4, FALSE), "")="E",0,"N/A"))))))))))))</f>
        <v>N/A</v>
      </c>
      <c r="L22" s="29" t="str">
        <f t="shared" si="1"/>
        <v>N/A</v>
      </c>
      <c r="M22" s="29">
        <f t="shared" si="2"/>
        <v>2.83</v>
      </c>
      <c r="N22" s="29" t="str">
        <f t="shared" si="3"/>
        <v>General (90 Cr)</v>
      </c>
      <c r="O22" s="30" t="str">
        <f t="shared" si="4"/>
        <v>General Pass</v>
      </c>
    </row>
    <row r="23" spans="1:15" ht="15.75" customHeight="1" x14ac:dyDescent="0.25">
      <c r="A23" s="27" t="s">
        <v>57</v>
      </c>
      <c r="B23" s="27" t="s">
        <v>58</v>
      </c>
      <c r="C23" s="27">
        <v>3.3</v>
      </c>
      <c r="D23" s="27">
        <v>2.81</v>
      </c>
      <c r="E23" s="28">
        <f>'2.1'!H23</f>
        <v>3.03</v>
      </c>
      <c r="F23" s="27">
        <v>2.29</v>
      </c>
      <c r="G23" s="27">
        <f>'3.1'!I23</f>
        <v>2.95</v>
      </c>
      <c r="H23" s="27">
        <v>2.91</v>
      </c>
      <c r="I23" s="29">
        <f t="shared" si="0"/>
        <v>2.8820000000000001</v>
      </c>
      <c r="J23" s="29" t="str">
        <f>IFERROR(VLOOKUP(A23, '4.1'!$A$2:$O$52, 15, FALSE), "N/A")</f>
        <v>N/A</v>
      </c>
      <c r="K23" s="29" t="str">
        <f>IF(IFERROR(VLOOKUP(A23, '4.2'!$A$2:$D$52, 4, FALSE), "")="A+",4,IF(IFERROR(VLOOKUP(A23, '4.2'!$A$2:$D$52, 4, FALSE), "")="A",4,IF(IFERROR(VLOOKUP(A23, '4.2'!$A$2:$D$52, 4, FALSE), "")="A-",3.7,IF(IFERROR(VLOOKUP(A23, '4.2'!$A$2:$D$52, 4, FALSE), "")="B+",3.3,IF(IFERROR(VLOOKUP(A23, '4.2'!$A$2:$D$52, 4, FALSE), "")="B",3,IF(IFERROR(VLOOKUP(A23, '4.2'!$A$2:$D$52, 4, FALSE), "")="B-",2.7,IF(IFERROR(VLOOKUP(A23, '4.2'!$A$2:$D$52, 4, FALSE), "")="C+",2.3,IF(IFERROR(VLOOKUP(A23, '4.2'!$A$2:$D$52, 4, FALSE), "")="C",2,IF(IFERROR(VLOOKUP(A23, '4.2'!$A$2:$D$52, 4, FALSE), "")="C-",1.7,IF(IFERROR(VLOOKUP(A23, '4.2'!$A$2:$D$52, 4, FALSE), "")="D+",1.3,IF(IFERROR(VLOOKUP(A23, '4.2'!$A$2:$D$52, 4, FALSE), "")="D",1,IF(IFERROR(VLOOKUP(A23, '4.2'!$A$2:$D$52, 4, FALSE), "")="E",0,"N/A"))))))))))))</f>
        <v>N/A</v>
      </c>
      <c r="L23" s="29" t="str">
        <f t="shared" si="1"/>
        <v>N/A</v>
      </c>
      <c r="M23" s="29">
        <f t="shared" si="2"/>
        <v>2.8820000000000001</v>
      </c>
      <c r="N23" s="29" t="str">
        <f t="shared" si="3"/>
        <v>General (90 Cr)</v>
      </c>
      <c r="O23" s="30" t="str">
        <f t="shared" si="4"/>
        <v>General Pass</v>
      </c>
    </row>
    <row r="24" spans="1:15" ht="15.75" customHeight="1" x14ac:dyDescent="0.25">
      <c r="A24" s="27" t="s">
        <v>59</v>
      </c>
      <c r="B24" s="27" t="s">
        <v>60</v>
      </c>
      <c r="C24" s="27">
        <v>3.81</v>
      </c>
      <c r="D24" s="27">
        <v>3.73</v>
      </c>
      <c r="E24" s="28">
        <f>'2.1'!H24</f>
        <v>3.23</v>
      </c>
      <c r="F24" s="27">
        <v>3.11</v>
      </c>
      <c r="G24" s="27">
        <f>'3.1'!I24</f>
        <v>3.41</v>
      </c>
      <c r="H24" s="27">
        <v>3.19</v>
      </c>
      <c r="I24" s="29">
        <f t="shared" si="0"/>
        <v>3.4129999999999998</v>
      </c>
      <c r="J24" s="29" t="str">
        <f>IFERROR(VLOOKUP(A24, '4.1'!$A$2:$O$52, 15, FALSE), "N/A")</f>
        <v>N/A</v>
      </c>
      <c r="K24" s="29" t="str">
        <f>IF(IFERROR(VLOOKUP(A24, '4.2'!$A$2:$D$52, 4, FALSE), "")="A+",4,IF(IFERROR(VLOOKUP(A24, '4.2'!$A$2:$D$52, 4, FALSE), "")="A",4,IF(IFERROR(VLOOKUP(A24, '4.2'!$A$2:$D$52, 4, FALSE), "")="A-",3.7,IF(IFERROR(VLOOKUP(A24, '4.2'!$A$2:$D$52, 4, FALSE), "")="B+",3.3,IF(IFERROR(VLOOKUP(A24, '4.2'!$A$2:$D$52, 4, FALSE), "")="B",3,IF(IFERROR(VLOOKUP(A24, '4.2'!$A$2:$D$52, 4, FALSE), "")="B-",2.7,IF(IFERROR(VLOOKUP(A24, '4.2'!$A$2:$D$52, 4, FALSE), "")="C+",2.3,IF(IFERROR(VLOOKUP(A24, '4.2'!$A$2:$D$52, 4, FALSE), "")="C",2,IF(IFERROR(VLOOKUP(A24, '4.2'!$A$2:$D$52, 4, FALSE), "")="C-",1.7,IF(IFERROR(VLOOKUP(A24, '4.2'!$A$2:$D$52, 4, FALSE), "")="D+",1.3,IF(IFERROR(VLOOKUP(A24, '4.2'!$A$2:$D$52, 4, FALSE), "")="D",1,IF(IFERROR(VLOOKUP(A24, '4.2'!$A$2:$D$52, 4, FALSE), "")="E",0,"N/A"))))))))))))</f>
        <v>N/A</v>
      </c>
      <c r="L24" s="29" t="str">
        <f t="shared" si="1"/>
        <v>N/A</v>
      </c>
      <c r="M24" s="29">
        <f t="shared" si="2"/>
        <v>3.4129999999999998</v>
      </c>
      <c r="N24" s="29" t="str">
        <f t="shared" si="3"/>
        <v>General (90 Cr)</v>
      </c>
      <c r="O24" s="30" t="str">
        <f t="shared" si="4"/>
        <v>Second Class Upper</v>
      </c>
    </row>
    <row r="25" spans="1:15" ht="15.75" customHeight="1" x14ac:dyDescent="0.25">
      <c r="A25" s="27" t="s">
        <v>61</v>
      </c>
      <c r="B25" s="27" t="s">
        <v>62</v>
      </c>
      <c r="C25" s="27">
        <v>3.35</v>
      </c>
      <c r="D25" s="27">
        <v>2.95</v>
      </c>
      <c r="E25" s="28">
        <f>'2.1'!H25</f>
        <v>2.77</v>
      </c>
      <c r="F25" s="27">
        <v>2.36</v>
      </c>
      <c r="G25" s="27">
        <f>'3.1'!I25</f>
        <v>2.92</v>
      </c>
      <c r="H25" s="27">
        <v>3.27</v>
      </c>
      <c r="I25" s="29">
        <f t="shared" si="0"/>
        <v>2.9369999999999998</v>
      </c>
      <c r="J25" s="29" t="str">
        <f>IFERROR(VLOOKUP(A25, '4.1'!$A$2:$O$52, 15, FALSE), "N/A")</f>
        <v>N/A</v>
      </c>
      <c r="K25" s="29" t="str">
        <f>IF(IFERROR(VLOOKUP(A25, '4.2'!$A$2:$D$52, 4, FALSE), "")="A+",4,IF(IFERROR(VLOOKUP(A25, '4.2'!$A$2:$D$52, 4, FALSE), "")="A",4,IF(IFERROR(VLOOKUP(A25, '4.2'!$A$2:$D$52, 4, FALSE), "")="A-",3.7,IF(IFERROR(VLOOKUP(A25, '4.2'!$A$2:$D$52, 4, FALSE), "")="B+",3.3,IF(IFERROR(VLOOKUP(A25, '4.2'!$A$2:$D$52, 4, FALSE), "")="B",3,IF(IFERROR(VLOOKUP(A25, '4.2'!$A$2:$D$52, 4, FALSE), "")="B-",2.7,IF(IFERROR(VLOOKUP(A25, '4.2'!$A$2:$D$52, 4, FALSE), "")="C+",2.3,IF(IFERROR(VLOOKUP(A25, '4.2'!$A$2:$D$52, 4, FALSE), "")="C",2,IF(IFERROR(VLOOKUP(A25, '4.2'!$A$2:$D$52, 4, FALSE), "")="C-",1.7,IF(IFERROR(VLOOKUP(A25, '4.2'!$A$2:$D$52, 4, FALSE), "")="D+",1.3,IF(IFERROR(VLOOKUP(A25, '4.2'!$A$2:$D$52, 4, FALSE), "")="D",1,IF(IFERROR(VLOOKUP(A25, '4.2'!$A$2:$D$52, 4, FALSE), "")="E",0,"N/A"))))))))))))</f>
        <v>N/A</v>
      </c>
      <c r="L25" s="29" t="str">
        <f t="shared" si="1"/>
        <v>N/A</v>
      </c>
      <c r="M25" s="29">
        <f t="shared" si="2"/>
        <v>2.9369999999999998</v>
      </c>
      <c r="N25" s="29" t="str">
        <f t="shared" si="3"/>
        <v>General (90 Cr)</v>
      </c>
      <c r="O25" s="30" t="str">
        <f t="shared" si="4"/>
        <v>General Pass</v>
      </c>
    </row>
    <row r="26" spans="1:15" ht="15.75" customHeight="1" x14ac:dyDescent="0.25">
      <c r="A26" s="27" t="s">
        <v>63</v>
      </c>
      <c r="B26" s="27" t="s">
        <v>64</v>
      </c>
      <c r="C26" s="27">
        <v>1.98</v>
      </c>
      <c r="D26" s="27">
        <v>1.65</v>
      </c>
      <c r="E26" s="28">
        <f>'2.1'!H26</f>
        <v>1.94</v>
      </c>
      <c r="F26" s="27">
        <v>0.56999999999999995</v>
      </c>
      <c r="G26" s="27">
        <f>'3.1'!I26</f>
        <v>2.54</v>
      </c>
      <c r="H26" s="27">
        <v>2.33</v>
      </c>
      <c r="I26" s="29">
        <f t="shared" si="0"/>
        <v>1.835</v>
      </c>
      <c r="J26" s="29" t="str">
        <f>IFERROR(VLOOKUP(A26, '4.1'!$A$2:$O$52, 15, FALSE), "N/A")</f>
        <v>N/A</v>
      </c>
      <c r="K26" s="29" t="str">
        <f>IF(IFERROR(VLOOKUP(A26, '4.2'!$A$2:$D$52, 4, FALSE), "")="A+",4,IF(IFERROR(VLOOKUP(A26, '4.2'!$A$2:$D$52, 4, FALSE), "")="A",4,IF(IFERROR(VLOOKUP(A26, '4.2'!$A$2:$D$52, 4, FALSE), "")="A-",3.7,IF(IFERROR(VLOOKUP(A26, '4.2'!$A$2:$D$52, 4, FALSE), "")="B+",3.3,IF(IFERROR(VLOOKUP(A26, '4.2'!$A$2:$D$52, 4, FALSE), "")="B",3,IF(IFERROR(VLOOKUP(A26, '4.2'!$A$2:$D$52, 4, FALSE), "")="B-",2.7,IF(IFERROR(VLOOKUP(A26, '4.2'!$A$2:$D$52, 4, FALSE), "")="C+",2.3,IF(IFERROR(VLOOKUP(A26, '4.2'!$A$2:$D$52, 4, FALSE), "")="C",2,IF(IFERROR(VLOOKUP(A26, '4.2'!$A$2:$D$52, 4, FALSE), "")="C-",1.7,IF(IFERROR(VLOOKUP(A26, '4.2'!$A$2:$D$52, 4, FALSE), "")="D+",1.3,IF(IFERROR(VLOOKUP(A26, '4.2'!$A$2:$D$52, 4, FALSE), "")="D",1,IF(IFERROR(VLOOKUP(A26, '4.2'!$A$2:$D$52, 4, FALSE), "")="E",0,"N/A"))))))))))))</f>
        <v>N/A</v>
      </c>
      <c r="L26" s="29" t="str">
        <f t="shared" si="1"/>
        <v>N/A</v>
      </c>
      <c r="M26" s="29">
        <f t="shared" si="2"/>
        <v>1.835</v>
      </c>
      <c r="N26" s="29" t="str">
        <f t="shared" si="3"/>
        <v>General (90 Cr)</v>
      </c>
      <c r="O26" s="30" t="str">
        <f t="shared" si="4"/>
        <v>Below Pass</v>
      </c>
    </row>
    <row r="27" spans="1:15" ht="15.75" customHeight="1" x14ac:dyDescent="0.25">
      <c r="A27" s="27" t="s">
        <v>65</v>
      </c>
      <c r="B27" s="27" t="s">
        <v>66</v>
      </c>
      <c r="C27" s="27">
        <v>3.79</v>
      </c>
      <c r="D27" s="27">
        <v>3.11</v>
      </c>
      <c r="E27" s="28">
        <f>'2.1'!H27</f>
        <v>2.5099999999999998</v>
      </c>
      <c r="F27" s="27">
        <v>2.25</v>
      </c>
      <c r="G27" s="27">
        <f>'3.1'!I27</f>
        <v>2.88</v>
      </c>
      <c r="H27" s="27">
        <v>2.89</v>
      </c>
      <c r="I27" s="29">
        <f t="shared" si="0"/>
        <v>2.9049999999999998</v>
      </c>
      <c r="J27" s="29" t="str">
        <f>IFERROR(VLOOKUP(A27, '4.1'!$A$2:$O$52, 15, FALSE), "N/A")</f>
        <v>N/A</v>
      </c>
      <c r="K27" s="29" t="str">
        <f>IF(IFERROR(VLOOKUP(A27, '4.2'!$A$2:$D$52, 4, FALSE), "")="A+",4,IF(IFERROR(VLOOKUP(A27, '4.2'!$A$2:$D$52, 4, FALSE), "")="A",4,IF(IFERROR(VLOOKUP(A27, '4.2'!$A$2:$D$52, 4, FALSE), "")="A-",3.7,IF(IFERROR(VLOOKUP(A27, '4.2'!$A$2:$D$52, 4, FALSE), "")="B+",3.3,IF(IFERROR(VLOOKUP(A27, '4.2'!$A$2:$D$52, 4, FALSE), "")="B",3,IF(IFERROR(VLOOKUP(A27, '4.2'!$A$2:$D$52, 4, FALSE), "")="B-",2.7,IF(IFERROR(VLOOKUP(A27, '4.2'!$A$2:$D$52, 4, FALSE), "")="C+",2.3,IF(IFERROR(VLOOKUP(A27, '4.2'!$A$2:$D$52, 4, FALSE), "")="C",2,IF(IFERROR(VLOOKUP(A27, '4.2'!$A$2:$D$52, 4, FALSE), "")="C-",1.7,IF(IFERROR(VLOOKUP(A27, '4.2'!$A$2:$D$52, 4, FALSE), "")="D+",1.3,IF(IFERROR(VLOOKUP(A27, '4.2'!$A$2:$D$52, 4, FALSE), "")="D",1,IF(IFERROR(VLOOKUP(A27, '4.2'!$A$2:$D$52, 4, FALSE), "")="E",0,"N/A"))))))))))))</f>
        <v>N/A</v>
      </c>
      <c r="L27" s="29" t="str">
        <f t="shared" si="1"/>
        <v>N/A</v>
      </c>
      <c r="M27" s="29">
        <f t="shared" si="2"/>
        <v>2.9049999999999998</v>
      </c>
      <c r="N27" s="29" t="str">
        <f t="shared" si="3"/>
        <v>General (90 Cr)</v>
      </c>
      <c r="O27" s="30" t="str">
        <f t="shared" si="4"/>
        <v>General Pass</v>
      </c>
    </row>
    <row r="28" spans="1:15" ht="15.75" customHeight="1" x14ac:dyDescent="0.25">
      <c r="A28" s="27" t="s">
        <v>67</v>
      </c>
      <c r="B28" s="27" t="s">
        <v>68</v>
      </c>
      <c r="C28" s="27">
        <v>4</v>
      </c>
      <c r="D28" s="27">
        <v>3.96</v>
      </c>
      <c r="E28" s="28">
        <f>'2.1'!H28</f>
        <v>3.91</v>
      </c>
      <c r="F28" s="27">
        <v>3.49</v>
      </c>
      <c r="G28" s="27">
        <f>'3.1'!I28</f>
        <v>3.9</v>
      </c>
      <c r="H28" s="27">
        <v>3.67</v>
      </c>
      <c r="I28" s="29">
        <f t="shared" si="0"/>
        <v>3.8220000000000001</v>
      </c>
      <c r="J28" s="29">
        <f>IFERROR(VLOOKUP(A28, '4.1'!$A$2:$O$52, 15, FALSE), "N/A")</f>
        <v>3.9</v>
      </c>
      <c r="K28" s="29">
        <f>IF(IFERROR(VLOOKUP(A28, '4.2'!$A$2:$D$52, 4, FALSE), "")="A+",4,IF(IFERROR(VLOOKUP(A28, '4.2'!$A$2:$D$52, 4, FALSE), "")="A",4,IF(IFERROR(VLOOKUP(A28, '4.2'!$A$2:$D$52, 4, FALSE), "")="A-",3.7,IF(IFERROR(VLOOKUP(A28, '4.2'!$A$2:$D$52, 4, FALSE), "")="B+",3.3,IF(IFERROR(VLOOKUP(A28, '4.2'!$A$2:$D$52, 4, FALSE), "")="B",3,IF(IFERROR(VLOOKUP(A28, '4.2'!$A$2:$D$52, 4, FALSE), "")="B-",2.7,IF(IFERROR(VLOOKUP(A28, '4.2'!$A$2:$D$52, 4, FALSE), "")="C+",2.3,IF(IFERROR(VLOOKUP(A28, '4.2'!$A$2:$D$52, 4, FALSE), "")="C",2,IF(IFERROR(VLOOKUP(A28, '4.2'!$A$2:$D$52, 4, FALSE), "")="C-",1.7,IF(IFERROR(VLOOKUP(A28, '4.2'!$A$2:$D$52, 4, FALSE), "")="D+",1.3,IF(IFERROR(VLOOKUP(A28, '4.2'!$A$2:$D$52, 4, FALSE), "")="D",1,IF(IFERROR(VLOOKUP(A28, '4.2'!$A$2:$D$52, 4, FALSE), "")="E",0,"N/A"))))))))))))</f>
        <v>4</v>
      </c>
      <c r="L28" s="29">
        <f t="shared" si="1"/>
        <v>3.92</v>
      </c>
      <c r="M28" s="29">
        <f t="shared" si="2"/>
        <v>3.847</v>
      </c>
      <c r="N28" s="29" t="str">
        <f t="shared" si="3"/>
        <v>Honours (120 Cr)</v>
      </c>
      <c r="O28" s="30" t="str">
        <f t="shared" si="4"/>
        <v>First Class</v>
      </c>
    </row>
    <row r="29" spans="1:15" ht="15.75" customHeight="1" x14ac:dyDescent="0.25">
      <c r="A29" s="27" t="s">
        <v>69</v>
      </c>
      <c r="B29" s="27" t="s">
        <v>70</v>
      </c>
      <c r="C29" s="27">
        <v>4</v>
      </c>
      <c r="D29" s="27">
        <v>3.79</v>
      </c>
      <c r="E29" s="28">
        <f>'2.1'!H29</f>
        <v>3.87</v>
      </c>
      <c r="F29" s="27">
        <v>3.53</v>
      </c>
      <c r="G29" s="27">
        <f>'3.1'!I29</f>
        <v>3.68</v>
      </c>
      <c r="H29" s="27">
        <v>3.76</v>
      </c>
      <c r="I29" s="29">
        <f t="shared" si="0"/>
        <v>3.7719999999999998</v>
      </c>
      <c r="J29" s="29">
        <f>IFERROR(VLOOKUP(A29, '4.1'!$A$2:$O$52, 15, FALSE), "N/A")</f>
        <v>3.79</v>
      </c>
      <c r="K29" s="29">
        <f>IF(IFERROR(VLOOKUP(A29, '4.2'!$A$2:$D$52, 4, FALSE), "")="A+",4,IF(IFERROR(VLOOKUP(A29, '4.2'!$A$2:$D$52, 4, FALSE), "")="A",4,IF(IFERROR(VLOOKUP(A29, '4.2'!$A$2:$D$52, 4, FALSE), "")="A-",3.7,IF(IFERROR(VLOOKUP(A29, '4.2'!$A$2:$D$52, 4, FALSE), "")="B+",3.3,IF(IFERROR(VLOOKUP(A29, '4.2'!$A$2:$D$52, 4, FALSE), "")="B",3,IF(IFERROR(VLOOKUP(A29, '4.2'!$A$2:$D$52, 4, FALSE), "")="B-",2.7,IF(IFERROR(VLOOKUP(A29, '4.2'!$A$2:$D$52, 4, FALSE), "")="C+",2.3,IF(IFERROR(VLOOKUP(A29, '4.2'!$A$2:$D$52, 4, FALSE), "")="C",2,IF(IFERROR(VLOOKUP(A29, '4.2'!$A$2:$D$52, 4, FALSE), "")="C-",1.7,IF(IFERROR(VLOOKUP(A29, '4.2'!$A$2:$D$52, 4, FALSE), "")="D+",1.3,IF(IFERROR(VLOOKUP(A29, '4.2'!$A$2:$D$52, 4, FALSE), "")="D",1,IF(IFERROR(VLOOKUP(A29, '4.2'!$A$2:$D$52, 4, FALSE), "")="E",0,"N/A"))))))))))))</f>
        <v>4</v>
      </c>
      <c r="L29" s="29">
        <f t="shared" si="1"/>
        <v>3.8319999999999999</v>
      </c>
      <c r="M29" s="29">
        <f t="shared" si="2"/>
        <v>3.7869999999999999</v>
      </c>
      <c r="N29" s="29" t="str">
        <f t="shared" si="3"/>
        <v>Honours (120 Cr)</v>
      </c>
      <c r="O29" s="30" t="str">
        <f t="shared" si="4"/>
        <v>First Class</v>
      </c>
    </row>
    <row r="30" spans="1:15" ht="15.75" customHeight="1" x14ac:dyDescent="0.25">
      <c r="A30" s="27" t="s">
        <v>71</v>
      </c>
      <c r="B30" s="27" t="s">
        <v>72</v>
      </c>
      <c r="C30" s="27">
        <v>3.87</v>
      </c>
      <c r="D30" s="27">
        <v>3.77</v>
      </c>
      <c r="E30" s="28">
        <f>'2.1'!H30</f>
        <v>3.59</v>
      </c>
      <c r="F30" s="27">
        <v>2.83</v>
      </c>
      <c r="G30" s="27">
        <f>'3.1'!I30</f>
        <v>3.45</v>
      </c>
      <c r="H30" s="27">
        <v>3.31</v>
      </c>
      <c r="I30" s="29">
        <f t="shared" si="0"/>
        <v>3.47</v>
      </c>
      <c r="J30" s="29">
        <f>IFERROR(VLOOKUP(A30, '4.1'!$A$2:$O$52, 15, FALSE), "N/A")</f>
        <v>3.5</v>
      </c>
      <c r="K30" s="29">
        <f>IF(IFERROR(VLOOKUP(A30, '4.2'!$A$2:$D$52, 4, FALSE), "")="A+",4,IF(IFERROR(VLOOKUP(A30, '4.2'!$A$2:$D$52, 4, FALSE), "")="A",4,IF(IFERROR(VLOOKUP(A30, '4.2'!$A$2:$D$52, 4, FALSE), "")="A-",3.7,IF(IFERROR(VLOOKUP(A30, '4.2'!$A$2:$D$52, 4, FALSE), "")="B+",3.3,IF(IFERROR(VLOOKUP(A30, '4.2'!$A$2:$D$52, 4, FALSE), "")="B",3,IF(IFERROR(VLOOKUP(A30, '4.2'!$A$2:$D$52, 4, FALSE), "")="B-",2.7,IF(IFERROR(VLOOKUP(A30, '4.2'!$A$2:$D$52, 4, FALSE), "")="C+",2.3,IF(IFERROR(VLOOKUP(A30, '4.2'!$A$2:$D$52, 4, FALSE), "")="C",2,IF(IFERROR(VLOOKUP(A30, '4.2'!$A$2:$D$52, 4, FALSE), "")="C-",1.7,IF(IFERROR(VLOOKUP(A30, '4.2'!$A$2:$D$52, 4, FALSE), "")="D+",1.3,IF(IFERROR(VLOOKUP(A30, '4.2'!$A$2:$D$52, 4, FALSE), "")="D",1,IF(IFERROR(VLOOKUP(A30, '4.2'!$A$2:$D$52, 4, FALSE), "")="E",0,"N/A"))))))))))))</f>
        <v>4</v>
      </c>
      <c r="L30" s="29">
        <f t="shared" si="1"/>
        <v>3.6</v>
      </c>
      <c r="M30" s="29">
        <f t="shared" si="2"/>
        <v>3.5030000000000001</v>
      </c>
      <c r="N30" s="29" t="str">
        <f t="shared" si="3"/>
        <v>Honours (120 Cr)</v>
      </c>
      <c r="O30" s="30" t="str">
        <f t="shared" si="4"/>
        <v>Second Class Upper</v>
      </c>
    </row>
    <row r="31" spans="1:15" ht="15.75" customHeight="1" x14ac:dyDescent="0.25">
      <c r="A31" s="27" t="s">
        <v>73</v>
      </c>
      <c r="B31" s="27" t="s">
        <v>74</v>
      </c>
      <c r="C31" s="27">
        <v>2.4700000000000002</v>
      </c>
      <c r="D31" s="27">
        <v>2.97</v>
      </c>
      <c r="E31" s="28">
        <f>'2.1'!H31</f>
        <v>2.4900000000000002</v>
      </c>
      <c r="F31" s="27">
        <v>2.2200000000000002</v>
      </c>
      <c r="G31" s="27">
        <f>'3.1'!I31</f>
        <v>3.09</v>
      </c>
      <c r="H31" s="27">
        <v>3.13</v>
      </c>
      <c r="I31" s="29">
        <f t="shared" si="0"/>
        <v>2.7280000000000002</v>
      </c>
      <c r="J31" s="29" t="str">
        <f>IFERROR(VLOOKUP(A31, '4.1'!$A$2:$O$52, 15, FALSE), "N/A")</f>
        <v>N/A</v>
      </c>
      <c r="K31" s="29" t="str">
        <f>IF(IFERROR(VLOOKUP(A31, '4.2'!$A$2:$D$52, 4, FALSE), "")="A+",4,IF(IFERROR(VLOOKUP(A31, '4.2'!$A$2:$D$52, 4, FALSE), "")="A",4,IF(IFERROR(VLOOKUP(A31, '4.2'!$A$2:$D$52, 4, FALSE), "")="A-",3.7,IF(IFERROR(VLOOKUP(A31, '4.2'!$A$2:$D$52, 4, FALSE), "")="B+",3.3,IF(IFERROR(VLOOKUP(A31, '4.2'!$A$2:$D$52, 4, FALSE), "")="B",3,IF(IFERROR(VLOOKUP(A31, '4.2'!$A$2:$D$52, 4, FALSE), "")="B-",2.7,IF(IFERROR(VLOOKUP(A31, '4.2'!$A$2:$D$52, 4, FALSE), "")="C+",2.3,IF(IFERROR(VLOOKUP(A31, '4.2'!$A$2:$D$52, 4, FALSE), "")="C",2,IF(IFERROR(VLOOKUP(A31, '4.2'!$A$2:$D$52, 4, FALSE), "")="C-",1.7,IF(IFERROR(VLOOKUP(A31, '4.2'!$A$2:$D$52, 4, FALSE), "")="D+",1.3,IF(IFERROR(VLOOKUP(A31, '4.2'!$A$2:$D$52, 4, FALSE), "")="D",1,IF(IFERROR(VLOOKUP(A31, '4.2'!$A$2:$D$52, 4, FALSE), "")="E",0,"N/A"))))))))))))</f>
        <v>N/A</v>
      </c>
      <c r="L31" s="29" t="str">
        <f t="shared" si="1"/>
        <v>N/A</v>
      </c>
      <c r="M31" s="29">
        <f t="shared" si="2"/>
        <v>2.7280000000000002</v>
      </c>
      <c r="N31" s="29" t="str">
        <f t="shared" si="3"/>
        <v>General (90 Cr)</v>
      </c>
      <c r="O31" s="30" t="str">
        <f t="shared" si="4"/>
        <v>General Pass</v>
      </c>
    </row>
    <row r="32" spans="1:15" ht="15.75" customHeight="1" x14ac:dyDescent="0.25">
      <c r="A32" s="27" t="s">
        <v>75</v>
      </c>
      <c r="B32" s="27" t="s">
        <v>76</v>
      </c>
      <c r="C32" s="27">
        <v>3.77</v>
      </c>
      <c r="D32" s="27">
        <v>3.31</v>
      </c>
      <c r="E32" s="28">
        <f>'2.1'!H32</f>
        <v>2.5499999999999998</v>
      </c>
      <c r="F32" s="27">
        <v>2.27</v>
      </c>
      <c r="G32" s="27">
        <f>'3.1'!I32</f>
        <v>2.74</v>
      </c>
      <c r="H32" s="27">
        <v>3.08</v>
      </c>
      <c r="I32" s="29">
        <f t="shared" si="0"/>
        <v>2.9529999999999998</v>
      </c>
      <c r="J32" s="29" t="str">
        <f>IFERROR(VLOOKUP(A32, '4.1'!$A$2:$O$52, 15, FALSE), "N/A")</f>
        <v>N/A</v>
      </c>
      <c r="K32" s="29" t="str">
        <f>IF(IFERROR(VLOOKUP(A32, '4.2'!$A$2:$D$52, 4, FALSE), "")="A+",4,IF(IFERROR(VLOOKUP(A32, '4.2'!$A$2:$D$52, 4, FALSE), "")="A",4,IF(IFERROR(VLOOKUP(A32, '4.2'!$A$2:$D$52, 4, FALSE), "")="A-",3.7,IF(IFERROR(VLOOKUP(A32, '4.2'!$A$2:$D$52, 4, FALSE), "")="B+",3.3,IF(IFERROR(VLOOKUP(A32, '4.2'!$A$2:$D$52, 4, FALSE), "")="B",3,IF(IFERROR(VLOOKUP(A32, '4.2'!$A$2:$D$52, 4, FALSE), "")="B-",2.7,IF(IFERROR(VLOOKUP(A32, '4.2'!$A$2:$D$52, 4, FALSE), "")="C+",2.3,IF(IFERROR(VLOOKUP(A32, '4.2'!$A$2:$D$52, 4, FALSE), "")="C",2,IF(IFERROR(VLOOKUP(A32, '4.2'!$A$2:$D$52, 4, FALSE), "")="C-",1.7,IF(IFERROR(VLOOKUP(A32, '4.2'!$A$2:$D$52, 4, FALSE), "")="D+",1.3,IF(IFERROR(VLOOKUP(A32, '4.2'!$A$2:$D$52, 4, FALSE), "")="D",1,IF(IFERROR(VLOOKUP(A32, '4.2'!$A$2:$D$52, 4, FALSE), "")="E",0,"N/A"))))))))))))</f>
        <v>N/A</v>
      </c>
      <c r="L32" s="29" t="str">
        <f t="shared" si="1"/>
        <v>N/A</v>
      </c>
      <c r="M32" s="29">
        <f t="shared" si="2"/>
        <v>2.9529999999999998</v>
      </c>
      <c r="N32" s="29" t="str">
        <f t="shared" si="3"/>
        <v>General (90 Cr)</v>
      </c>
      <c r="O32" s="30" t="str">
        <f t="shared" si="4"/>
        <v>General Pass</v>
      </c>
    </row>
    <row r="33" spans="1:15" ht="15.75" customHeight="1" x14ac:dyDescent="0.25">
      <c r="A33" s="27" t="s">
        <v>77</v>
      </c>
      <c r="B33" s="27" t="s">
        <v>78</v>
      </c>
      <c r="C33" s="27">
        <v>3.77</v>
      </c>
      <c r="D33" s="27">
        <v>3.54</v>
      </c>
      <c r="E33" s="28">
        <f>'2.1'!H33</f>
        <v>3.43</v>
      </c>
      <c r="F33" s="27">
        <v>2.7</v>
      </c>
      <c r="G33" s="27">
        <f>'3.1'!I33</f>
        <v>3.01</v>
      </c>
      <c r="H33" s="27">
        <v>3.27</v>
      </c>
      <c r="I33" s="29">
        <f t="shared" si="0"/>
        <v>3.2869999999999999</v>
      </c>
      <c r="J33" s="29">
        <f>IFERROR(VLOOKUP(A33, '4.1'!$A$2:$O$52, 15, FALSE), "N/A")</f>
        <v>3.17</v>
      </c>
      <c r="K33" s="29">
        <f>IF(IFERROR(VLOOKUP(A33, '4.2'!$A$2:$D$52, 4, FALSE), "")="A+",4,IF(IFERROR(VLOOKUP(A33, '4.2'!$A$2:$D$52, 4, FALSE), "")="A",4,IF(IFERROR(VLOOKUP(A33, '4.2'!$A$2:$D$52, 4, FALSE), "")="A-",3.7,IF(IFERROR(VLOOKUP(A33, '4.2'!$A$2:$D$52, 4, FALSE), "")="B+",3.3,IF(IFERROR(VLOOKUP(A33, '4.2'!$A$2:$D$52, 4, FALSE), "")="B",3,IF(IFERROR(VLOOKUP(A33, '4.2'!$A$2:$D$52, 4, FALSE), "")="B-",2.7,IF(IFERROR(VLOOKUP(A33, '4.2'!$A$2:$D$52, 4, FALSE), "")="C+",2.3,IF(IFERROR(VLOOKUP(A33, '4.2'!$A$2:$D$52, 4, FALSE), "")="C",2,IF(IFERROR(VLOOKUP(A33, '4.2'!$A$2:$D$52, 4, FALSE), "")="C-",1.7,IF(IFERROR(VLOOKUP(A33, '4.2'!$A$2:$D$52, 4, FALSE), "")="D+",1.3,IF(IFERROR(VLOOKUP(A33, '4.2'!$A$2:$D$52, 4, FALSE), "")="D",1,IF(IFERROR(VLOOKUP(A33, '4.2'!$A$2:$D$52, 4, FALSE), "")="E",0,"N/A"))))))))))))</f>
        <v>3.7</v>
      </c>
      <c r="L33" s="29">
        <f t="shared" si="1"/>
        <v>3.2759999999999998</v>
      </c>
      <c r="M33" s="29">
        <f t="shared" si="2"/>
        <v>3.2839999999999998</v>
      </c>
      <c r="N33" s="29" t="str">
        <f t="shared" si="3"/>
        <v>Honours (120 Cr)</v>
      </c>
      <c r="O33" s="30" t="str">
        <f t="shared" si="4"/>
        <v>Second Class Lower</v>
      </c>
    </row>
    <row r="34" spans="1:15" ht="15.75" customHeight="1" x14ac:dyDescent="0.25">
      <c r="A34" s="27" t="s">
        <v>79</v>
      </c>
      <c r="B34" s="27" t="s">
        <v>80</v>
      </c>
      <c r="C34" s="27">
        <v>3.17</v>
      </c>
      <c r="D34" s="27">
        <v>2.87</v>
      </c>
      <c r="E34" s="28">
        <f>'2.1'!H34</f>
        <v>2.65</v>
      </c>
      <c r="F34" s="27">
        <v>2.34</v>
      </c>
      <c r="G34" s="27">
        <f>'3.1'!I34</f>
        <v>3.15</v>
      </c>
      <c r="H34" s="27">
        <v>3.08</v>
      </c>
      <c r="I34" s="29">
        <f t="shared" ref="I34:I65" si="5">ROUND(AVERAGE(C34:H34), 3)</f>
        <v>2.8769999999999998</v>
      </c>
      <c r="J34" s="29" t="str">
        <f>IFERROR(VLOOKUP(A34, '4.1'!$A$2:$O$52, 15, FALSE), "N/A")</f>
        <v>N/A</v>
      </c>
      <c r="K34" s="29" t="str">
        <f>IF(IFERROR(VLOOKUP(A34, '4.2'!$A$2:$D$52, 4, FALSE), "")="A+",4,IF(IFERROR(VLOOKUP(A34, '4.2'!$A$2:$D$52, 4, FALSE), "")="A",4,IF(IFERROR(VLOOKUP(A34, '4.2'!$A$2:$D$52, 4, FALSE), "")="A-",3.7,IF(IFERROR(VLOOKUP(A34, '4.2'!$A$2:$D$52, 4, FALSE), "")="B+",3.3,IF(IFERROR(VLOOKUP(A34, '4.2'!$A$2:$D$52, 4, FALSE), "")="B",3,IF(IFERROR(VLOOKUP(A34, '4.2'!$A$2:$D$52, 4, FALSE), "")="B-",2.7,IF(IFERROR(VLOOKUP(A34, '4.2'!$A$2:$D$52, 4, FALSE), "")="C+",2.3,IF(IFERROR(VLOOKUP(A34, '4.2'!$A$2:$D$52, 4, FALSE), "")="C",2,IF(IFERROR(VLOOKUP(A34, '4.2'!$A$2:$D$52, 4, FALSE), "")="C-",1.7,IF(IFERROR(VLOOKUP(A34, '4.2'!$A$2:$D$52, 4, FALSE), "")="D+",1.3,IF(IFERROR(VLOOKUP(A34, '4.2'!$A$2:$D$52, 4, FALSE), "")="D",1,IF(IFERROR(VLOOKUP(A34, '4.2'!$A$2:$D$52, 4, FALSE), "")="E",0,"N/A"))))))))))))</f>
        <v>N/A</v>
      </c>
      <c r="L34" s="29" t="str">
        <f t="shared" ref="L34:L65" si="6">IF(ISNUMBER(J34), ROUND((J34*24 + K34*6)/30, 3), "N/A")</f>
        <v>N/A</v>
      </c>
      <c r="M34" s="29">
        <f t="shared" ref="M34:M65" si="7">IF(ISNUMBER(L34), ROUND(I34*0.75 + L34*0.25, 3), I34)</f>
        <v>2.8769999999999998</v>
      </c>
      <c r="N34" s="29" t="str">
        <f t="shared" ref="N34:N65" si="8">IF(ISNUMBER(L34), "Honours (120 Cr)", "General (90 Cr)")</f>
        <v>General (90 Cr)</v>
      </c>
      <c r="O34" s="30" t="str">
        <f t="shared" ref="O34:O65" si="9">IF(M34&gt;=3.7, "First Class", IF(M34&gt;=3.3, "Second Class Upper", IF(M34&gt;=3, "Second Class Lower", IF(M34&gt;=2, "General Pass", "Below Pass"))))</f>
        <v>General Pass</v>
      </c>
    </row>
    <row r="35" spans="1:15" ht="15.75" customHeight="1" x14ac:dyDescent="0.25">
      <c r="A35" s="27" t="s">
        <v>81</v>
      </c>
      <c r="B35" s="27" t="s">
        <v>82</v>
      </c>
      <c r="C35" s="27">
        <v>3.41</v>
      </c>
      <c r="D35" s="27">
        <v>3.67</v>
      </c>
      <c r="E35" s="28">
        <f>'2.1'!H35</f>
        <v>3.67</v>
      </c>
      <c r="F35" s="27">
        <v>3.13</v>
      </c>
      <c r="G35" s="27">
        <f>'3.1'!I35</f>
        <v>3.76</v>
      </c>
      <c r="H35" s="27">
        <v>3.75</v>
      </c>
      <c r="I35" s="29">
        <f t="shared" si="5"/>
        <v>3.5649999999999999</v>
      </c>
      <c r="J35" s="29">
        <f>IFERROR(VLOOKUP(A35, '4.1'!$A$2:$O$52, 15, FALSE), "N/A")</f>
        <v>3.61</v>
      </c>
      <c r="K35" s="29">
        <f>IF(IFERROR(VLOOKUP(A35, '4.2'!$A$2:$D$52, 4, FALSE), "")="A+",4,IF(IFERROR(VLOOKUP(A35, '4.2'!$A$2:$D$52, 4, FALSE), "")="A",4,IF(IFERROR(VLOOKUP(A35, '4.2'!$A$2:$D$52, 4, FALSE), "")="A-",3.7,IF(IFERROR(VLOOKUP(A35, '4.2'!$A$2:$D$52, 4, FALSE), "")="B+",3.3,IF(IFERROR(VLOOKUP(A35, '4.2'!$A$2:$D$52, 4, FALSE), "")="B",3,IF(IFERROR(VLOOKUP(A35, '4.2'!$A$2:$D$52, 4, FALSE), "")="B-",2.7,IF(IFERROR(VLOOKUP(A35, '4.2'!$A$2:$D$52, 4, FALSE), "")="C+",2.3,IF(IFERROR(VLOOKUP(A35, '4.2'!$A$2:$D$52, 4, FALSE), "")="C",2,IF(IFERROR(VLOOKUP(A35, '4.2'!$A$2:$D$52, 4, FALSE), "")="C-",1.7,IF(IFERROR(VLOOKUP(A35, '4.2'!$A$2:$D$52, 4, FALSE), "")="D+",1.3,IF(IFERROR(VLOOKUP(A35, '4.2'!$A$2:$D$52, 4, FALSE), "")="D",1,IF(IFERROR(VLOOKUP(A35, '4.2'!$A$2:$D$52, 4, FALSE), "")="E",0,"N/A"))))))))))))</f>
        <v>4</v>
      </c>
      <c r="L35" s="29">
        <f t="shared" si="6"/>
        <v>3.6880000000000002</v>
      </c>
      <c r="M35" s="29">
        <f t="shared" si="7"/>
        <v>3.5960000000000001</v>
      </c>
      <c r="N35" s="29" t="str">
        <f t="shared" si="8"/>
        <v>Honours (120 Cr)</v>
      </c>
      <c r="O35" s="30" t="str">
        <f t="shared" si="9"/>
        <v>Second Class Upper</v>
      </c>
    </row>
    <row r="36" spans="1:15" ht="15.75" customHeight="1" x14ac:dyDescent="0.25">
      <c r="A36" s="27" t="s">
        <v>83</v>
      </c>
      <c r="B36" s="27" t="s">
        <v>84</v>
      </c>
      <c r="C36" s="27">
        <v>3.92</v>
      </c>
      <c r="D36" s="27">
        <v>3.15</v>
      </c>
      <c r="E36" s="28">
        <f>'2.1'!H36</f>
        <v>2.44</v>
      </c>
      <c r="F36" s="27">
        <v>2.72</v>
      </c>
      <c r="G36" s="27">
        <f>'3.1'!I36</f>
        <v>3.39</v>
      </c>
      <c r="H36" s="27">
        <v>3.29</v>
      </c>
      <c r="I36" s="29">
        <f t="shared" si="5"/>
        <v>3.1520000000000001</v>
      </c>
      <c r="J36" s="29" t="str">
        <f>IFERROR(VLOOKUP(A36, '4.1'!$A$2:$O$52, 15, FALSE), "N/A")</f>
        <v>N/A</v>
      </c>
      <c r="K36" s="29" t="str">
        <f>IF(IFERROR(VLOOKUP(A36, '4.2'!$A$2:$D$52, 4, FALSE), "")="A+",4,IF(IFERROR(VLOOKUP(A36, '4.2'!$A$2:$D$52, 4, FALSE), "")="A",4,IF(IFERROR(VLOOKUP(A36, '4.2'!$A$2:$D$52, 4, FALSE), "")="A-",3.7,IF(IFERROR(VLOOKUP(A36, '4.2'!$A$2:$D$52, 4, FALSE), "")="B+",3.3,IF(IFERROR(VLOOKUP(A36, '4.2'!$A$2:$D$52, 4, FALSE), "")="B",3,IF(IFERROR(VLOOKUP(A36, '4.2'!$A$2:$D$52, 4, FALSE), "")="B-",2.7,IF(IFERROR(VLOOKUP(A36, '4.2'!$A$2:$D$52, 4, FALSE), "")="C+",2.3,IF(IFERROR(VLOOKUP(A36, '4.2'!$A$2:$D$52, 4, FALSE), "")="C",2,IF(IFERROR(VLOOKUP(A36, '4.2'!$A$2:$D$52, 4, FALSE), "")="C-",1.7,IF(IFERROR(VLOOKUP(A36, '4.2'!$A$2:$D$52, 4, FALSE), "")="D+",1.3,IF(IFERROR(VLOOKUP(A36, '4.2'!$A$2:$D$52, 4, FALSE), "")="D",1,IF(IFERROR(VLOOKUP(A36, '4.2'!$A$2:$D$52, 4, FALSE), "")="E",0,"N/A"))))))))))))</f>
        <v>N/A</v>
      </c>
      <c r="L36" s="29" t="str">
        <f t="shared" si="6"/>
        <v>N/A</v>
      </c>
      <c r="M36" s="29">
        <f t="shared" si="7"/>
        <v>3.1520000000000001</v>
      </c>
      <c r="N36" s="29" t="str">
        <f t="shared" si="8"/>
        <v>General (90 Cr)</v>
      </c>
      <c r="O36" s="30" t="str">
        <f t="shared" si="9"/>
        <v>Second Class Lower</v>
      </c>
    </row>
    <row r="37" spans="1:15" ht="15.75" customHeight="1" x14ac:dyDescent="0.25">
      <c r="A37" s="27" t="s">
        <v>85</v>
      </c>
      <c r="B37" s="27" t="s">
        <v>86</v>
      </c>
      <c r="C37" s="27">
        <v>3.85</v>
      </c>
      <c r="D37" s="27">
        <v>3.54</v>
      </c>
      <c r="E37" s="28">
        <f>'2.1'!H37</f>
        <v>3.13</v>
      </c>
      <c r="F37" s="27">
        <v>2.95</v>
      </c>
      <c r="G37" s="27">
        <f>'3.1'!I37</f>
        <v>3.41</v>
      </c>
      <c r="H37" s="27">
        <v>3.61</v>
      </c>
      <c r="I37" s="29">
        <f t="shared" si="5"/>
        <v>3.415</v>
      </c>
      <c r="J37" s="29">
        <f>IFERROR(VLOOKUP(A37, '4.1'!$A$2:$O$52, 15, FALSE), "N/A")</f>
        <v>3.57</v>
      </c>
      <c r="K37" s="29">
        <f>IF(IFERROR(VLOOKUP(A37, '4.2'!$A$2:$D$52, 4, FALSE), "")="A+",4,IF(IFERROR(VLOOKUP(A37, '4.2'!$A$2:$D$52, 4, FALSE), "")="A",4,IF(IFERROR(VLOOKUP(A37, '4.2'!$A$2:$D$52, 4, FALSE), "")="A-",3.7,IF(IFERROR(VLOOKUP(A37, '4.2'!$A$2:$D$52, 4, FALSE), "")="B+",3.3,IF(IFERROR(VLOOKUP(A37, '4.2'!$A$2:$D$52, 4, FALSE), "")="B",3,IF(IFERROR(VLOOKUP(A37, '4.2'!$A$2:$D$52, 4, FALSE), "")="B-",2.7,IF(IFERROR(VLOOKUP(A37, '4.2'!$A$2:$D$52, 4, FALSE), "")="C+",2.3,IF(IFERROR(VLOOKUP(A37, '4.2'!$A$2:$D$52, 4, FALSE), "")="C",2,IF(IFERROR(VLOOKUP(A37, '4.2'!$A$2:$D$52, 4, FALSE), "")="C-",1.7,IF(IFERROR(VLOOKUP(A37, '4.2'!$A$2:$D$52, 4, FALSE), "")="D+",1.3,IF(IFERROR(VLOOKUP(A37, '4.2'!$A$2:$D$52, 4, FALSE), "")="D",1,IF(IFERROR(VLOOKUP(A37, '4.2'!$A$2:$D$52, 4, FALSE), "")="E",0,"N/A"))))))))))))</f>
        <v>3.7</v>
      </c>
      <c r="L37" s="29">
        <f t="shared" si="6"/>
        <v>3.5960000000000001</v>
      </c>
      <c r="M37" s="29">
        <f t="shared" si="7"/>
        <v>3.46</v>
      </c>
      <c r="N37" s="29" t="str">
        <f t="shared" si="8"/>
        <v>Honours (120 Cr)</v>
      </c>
      <c r="O37" s="30" t="str">
        <f t="shared" si="9"/>
        <v>Second Class Upper</v>
      </c>
    </row>
    <row r="38" spans="1:15" ht="15.75" customHeight="1" x14ac:dyDescent="0.25">
      <c r="A38" s="27" t="s">
        <v>87</v>
      </c>
      <c r="B38" s="27" t="s">
        <v>88</v>
      </c>
      <c r="C38" s="27">
        <v>2.87</v>
      </c>
      <c r="D38" s="27">
        <v>3.45</v>
      </c>
      <c r="E38" s="28">
        <f>'2.1'!H38</f>
        <v>2.91</v>
      </c>
      <c r="F38" s="27">
        <v>2.54</v>
      </c>
      <c r="G38" s="27">
        <f>'3.1'!I38</f>
        <v>3.13</v>
      </c>
      <c r="H38" s="27">
        <v>3.14</v>
      </c>
      <c r="I38" s="29">
        <f t="shared" si="5"/>
        <v>3.0070000000000001</v>
      </c>
      <c r="J38" s="29" t="str">
        <f>IFERROR(VLOOKUP(A38, '4.1'!$A$2:$O$52, 15, FALSE), "N/A")</f>
        <v>N/A</v>
      </c>
      <c r="K38" s="29" t="str">
        <f>IF(IFERROR(VLOOKUP(A38, '4.2'!$A$2:$D$52, 4, FALSE), "")="A+",4,IF(IFERROR(VLOOKUP(A38, '4.2'!$A$2:$D$52, 4, FALSE), "")="A",4,IF(IFERROR(VLOOKUP(A38, '4.2'!$A$2:$D$52, 4, FALSE), "")="A-",3.7,IF(IFERROR(VLOOKUP(A38, '4.2'!$A$2:$D$52, 4, FALSE), "")="B+",3.3,IF(IFERROR(VLOOKUP(A38, '4.2'!$A$2:$D$52, 4, FALSE), "")="B",3,IF(IFERROR(VLOOKUP(A38, '4.2'!$A$2:$D$52, 4, FALSE), "")="B-",2.7,IF(IFERROR(VLOOKUP(A38, '4.2'!$A$2:$D$52, 4, FALSE), "")="C+",2.3,IF(IFERROR(VLOOKUP(A38, '4.2'!$A$2:$D$52, 4, FALSE), "")="C",2,IF(IFERROR(VLOOKUP(A38, '4.2'!$A$2:$D$52, 4, FALSE), "")="C-",1.7,IF(IFERROR(VLOOKUP(A38, '4.2'!$A$2:$D$52, 4, FALSE), "")="D+",1.3,IF(IFERROR(VLOOKUP(A38, '4.2'!$A$2:$D$52, 4, FALSE), "")="D",1,IF(IFERROR(VLOOKUP(A38, '4.2'!$A$2:$D$52, 4, FALSE), "")="E",0,"N/A"))))))))))))</f>
        <v>N/A</v>
      </c>
      <c r="L38" s="29" t="str">
        <f t="shared" si="6"/>
        <v>N/A</v>
      </c>
      <c r="M38" s="29">
        <f t="shared" si="7"/>
        <v>3.0070000000000001</v>
      </c>
      <c r="N38" s="29" t="str">
        <f t="shared" si="8"/>
        <v>General (90 Cr)</v>
      </c>
      <c r="O38" s="30" t="str">
        <f t="shared" si="9"/>
        <v>Second Class Lower</v>
      </c>
    </row>
    <row r="39" spans="1:15" ht="15.75" customHeight="1" x14ac:dyDescent="0.25">
      <c r="A39" s="27" t="s">
        <v>89</v>
      </c>
      <c r="B39" s="27" t="s">
        <v>90</v>
      </c>
      <c r="C39" s="27">
        <v>3.44</v>
      </c>
      <c r="D39" s="27">
        <v>3.41</v>
      </c>
      <c r="E39" s="28">
        <f>'2.1'!H39</f>
        <v>3.37</v>
      </c>
      <c r="F39" s="27">
        <v>3.14</v>
      </c>
      <c r="G39" s="27">
        <f>'3.1'!I39</f>
        <v>3.68</v>
      </c>
      <c r="H39" s="27">
        <v>3.71</v>
      </c>
      <c r="I39" s="29">
        <f t="shared" si="5"/>
        <v>3.4580000000000002</v>
      </c>
      <c r="J39" s="29">
        <f>IFERROR(VLOOKUP(A39, '4.1'!$A$2:$O$52, 15, FALSE), "N/A")</f>
        <v>3.46</v>
      </c>
      <c r="K39" s="29">
        <f>IF(IFERROR(VLOOKUP(A39, '4.2'!$A$2:$D$52, 4, FALSE), "")="A+",4,IF(IFERROR(VLOOKUP(A39, '4.2'!$A$2:$D$52, 4, FALSE), "")="A",4,IF(IFERROR(VLOOKUP(A39, '4.2'!$A$2:$D$52, 4, FALSE), "")="A-",3.7,IF(IFERROR(VLOOKUP(A39, '4.2'!$A$2:$D$52, 4, FALSE), "")="B+",3.3,IF(IFERROR(VLOOKUP(A39, '4.2'!$A$2:$D$52, 4, FALSE), "")="B",3,IF(IFERROR(VLOOKUP(A39, '4.2'!$A$2:$D$52, 4, FALSE), "")="B-",2.7,IF(IFERROR(VLOOKUP(A39, '4.2'!$A$2:$D$52, 4, FALSE), "")="C+",2.3,IF(IFERROR(VLOOKUP(A39, '4.2'!$A$2:$D$52, 4, FALSE), "")="C",2,IF(IFERROR(VLOOKUP(A39, '4.2'!$A$2:$D$52, 4, FALSE), "")="C-",1.7,IF(IFERROR(VLOOKUP(A39, '4.2'!$A$2:$D$52, 4, FALSE), "")="D+",1.3,IF(IFERROR(VLOOKUP(A39, '4.2'!$A$2:$D$52, 4, FALSE), "")="D",1,IF(IFERROR(VLOOKUP(A39, '4.2'!$A$2:$D$52, 4, FALSE), "")="E",0,"N/A"))))))))))))</f>
        <v>3.3</v>
      </c>
      <c r="L39" s="29">
        <f t="shared" si="6"/>
        <v>3.4279999999999999</v>
      </c>
      <c r="M39" s="29">
        <f t="shared" si="7"/>
        <v>3.4510000000000001</v>
      </c>
      <c r="N39" s="29" t="str">
        <f t="shared" si="8"/>
        <v>Honours (120 Cr)</v>
      </c>
      <c r="O39" s="30" t="str">
        <f t="shared" si="9"/>
        <v>Second Class Upper</v>
      </c>
    </row>
    <row r="40" spans="1:15" ht="15.75" customHeight="1" x14ac:dyDescent="0.25">
      <c r="A40" s="27" t="s">
        <v>91</v>
      </c>
      <c r="B40" s="27" t="s">
        <v>92</v>
      </c>
      <c r="C40" s="27">
        <v>3.81</v>
      </c>
      <c r="D40" s="27">
        <v>3.75</v>
      </c>
      <c r="E40" s="28">
        <f>'2.1'!H40</f>
        <v>3.71</v>
      </c>
      <c r="F40" s="27">
        <v>3.21</v>
      </c>
      <c r="G40" s="27">
        <f>'3.1'!I40</f>
        <v>3.71</v>
      </c>
      <c r="H40" s="27">
        <v>3.51</v>
      </c>
      <c r="I40" s="29">
        <f t="shared" si="5"/>
        <v>3.617</v>
      </c>
      <c r="J40" s="29">
        <f>IFERROR(VLOOKUP(A40, '4.1'!$A$2:$O$52, 15, FALSE), "N/A")</f>
        <v>3.58</v>
      </c>
      <c r="K40" s="29">
        <f>IF(IFERROR(VLOOKUP(A40, '4.2'!$A$2:$D$52, 4, FALSE), "")="A+",4,IF(IFERROR(VLOOKUP(A40, '4.2'!$A$2:$D$52, 4, FALSE), "")="A",4,IF(IFERROR(VLOOKUP(A40, '4.2'!$A$2:$D$52, 4, FALSE), "")="A-",3.7,IF(IFERROR(VLOOKUP(A40, '4.2'!$A$2:$D$52, 4, FALSE), "")="B+",3.3,IF(IFERROR(VLOOKUP(A40, '4.2'!$A$2:$D$52, 4, FALSE), "")="B",3,IF(IFERROR(VLOOKUP(A40, '4.2'!$A$2:$D$52, 4, FALSE), "")="B-",2.7,IF(IFERROR(VLOOKUP(A40, '4.2'!$A$2:$D$52, 4, FALSE), "")="C+",2.3,IF(IFERROR(VLOOKUP(A40, '4.2'!$A$2:$D$52, 4, FALSE), "")="C",2,IF(IFERROR(VLOOKUP(A40, '4.2'!$A$2:$D$52, 4, FALSE), "")="C-",1.7,IF(IFERROR(VLOOKUP(A40, '4.2'!$A$2:$D$52, 4, FALSE), "")="D+",1.3,IF(IFERROR(VLOOKUP(A40, '4.2'!$A$2:$D$52, 4, FALSE), "")="D",1,IF(IFERROR(VLOOKUP(A40, '4.2'!$A$2:$D$52, 4, FALSE), "")="E",0,"N/A"))))))))))))</f>
        <v>4</v>
      </c>
      <c r="L40" s="29">
        <f t="shared" si="6"/>
        <v>3.6640000000000001</v>
      </c>
      <c r="M40" s="29">
        <f t="shared" si="7"/>
        <v>3.629</v>
      </c>
      <c r="N40" s="29" t="str">
        <f t="shared" si="8"/>
        <v>Honours (120 Cr)</v>
      </c>
      <c r="O40" s="30" t="str">
        <f t="shared" si="9"/>
        <v>Second Class Upper</v>
      </c>
    </row>
    <row r="41" spans="1:15" ht="15.75" customHeight="1" x14ac:dyDescent="0.25">
      <c r="A41" s="27" t="s">
        <v>93</v>
      </c>
      <c r="B41" s="27" t="s">
        <v>94</v>
      </c>
      <c r="C41" s="27">
        <v>3.35</v>
      </c>
      <c r="D41" s="27">
        <v>3.65</v>
      </c>
      <c r="E41" s="28">
        <f>'2.1'!H41</f>
        <v>3.65</v>
      </c>
      <c r="F41" s="27">
        <v>3.01</v>
      </c>
      <c r="G41" s="27">
        <f>'3.1'!I41</f>
        <v>3.76</v>
      </c>
      <c r="H41" s="27">
        <v>3.61</v>
      </c>
      <c r="I41" s="29">
        <f t="shared" si="5"/>
        <v>3.5049999999999999</v>
      </c>
      <c r="J41" s="29">
        <f>IFERROR(VLOOKUP(A41, '4.1'!$A$2:$O$52, 15, FALSE), "N/A")</f>
        <v>3.27</v>
      </c>
      <c r="K41" s="29">
        <f>IF(IFERROR(VLOOKUP(A41, '4.2'!$A$2:$D$52, 4, FALSE), "")="A+",4,IF(IFERROR(VLOOKUP(A41, '4.2'!$A$2:$D$52, 4, FALSE), "")="A",4,IF(IFERROR(VLOOKUP(A41, '4.2'!$A$2:$D$52, 4, FALSE), "")="A-",3.7,IF(IFERROR(VLOOKUP(A41, '4.2'!$A$2:$D$52, 4, FALSE), "")="B+",3.3,IF(IFERROR(VLOOKUP(A41, '4.2'!$A$2:$D$52, 4, FALSE), "")="B",3,IF(IFERROR(VLOOKUP(A41, '4.2'!$A$2:$D$52, 4, FALSE), "")="B-",2.7,IF(IFERROR(VLOOKUP(A41, '4.2'!$A$2:$D$52, 4, FALSE), "")="C+",2.3,IF(IFERROR(VLOOKUP(A41, '4.2'!$A$2:$D$52, 4, FALSE), "")="C",2,IF(IFERROR(VLOOKUP(A41, '4.2'!$A$2:$D$52, 4, FALSE), "")="C-",1.7,IF(IFERROR(VLOOKUP(A41, '4.2'!$A$2:$D$52, 4, FALSE), "")="D+",1.3,IF(IFERROR(VLOOKUP(A41, '4.2'!$A$2:$D$52, 4, FALSE), "")="D",1,IF(IFERROR(VLOOKUP(A41, '4.2'!$A$2:$D$52, 4, FALSE), "")="E",0,"N/A"))))))))))))</f>
        <v>4</v>
      </c>
      <c r="L41" s="29">
        <f t="shared" si="6"/>
        <v>3.4159999999999999</v>
      </c>
      <c r="M41" s="29">
        <f t="shared" si="7"/>
        <v>3.4830000000000001</v>
      </c>
      <c r="N41" s="29" t="str">
        <f t="shared" si="8"/>
        <v>Honours (120 Cr)</v>
      </c>
      <c r="O41" s="30" t="str">
        <f t="shared" si="9"/>
        <v>Second Class Upper</v>
      </c>
    </row>
    <row r="42" spans="1:15" ht="15.75" customHeight="1" x14ac:dyDescent="0.25">
      <c r="A42" s="27" t="s">
        <v>95</v>
      </c>
      <c r="B42" s="27" t="s">
        <v>96</v>
      </c>
      <c r="C42" s="27">
        <v>3.81</v>
      </c>
      <c r="D42" s="27">
        <v>3.57</v>
      </c>
      <c r="E42" s="28">
        <f>'2.1'!H42</f>
        <v>3.71</v>
      </c>
      <c r="F42" s="27">
        <v>2.98</v>
      </c>
      <c r="G42" s="27">
        <f>'3.1'!I42</f>
        <v>3.61</v>
      </c>
      <c r="H42" s="27">
        <v>3.55</v>
      </c>
      <c r="I42" s="29">
        <f t="shared" si="5"/>
        <v>3.5379999999999998</v>
      </c>
      <c r="J42" s="29">
        <f>IFERROR(VLOOKUP(A42, '4.1'!$A$2:$O$52, 15, FALSE), "N/A")</f>
        <v>3.46</v>
      </c>
      <c r="K42" s="29">
        <f>IF(IFERROR(VLOOKUP(A42, '4.2'!$A$2:$D$52, 4, FALSE), "")="A+",4,IF(IFERROR(VLOOKUP(A42, '4.2'!$A$2:$D$52, 4, FALSE), "")="A",4,IF(IFERROR(VLOOKUP(A42, '4.2'!$A$2:$D$52, 4, FALSE), "")="A-",3.7,IF(IFERROR(VLOOKUP(A42, '4.2'!$A$2:$D$52, 4, FALSE), "")="B+",3.3,IF(IFERROR(VLOOKUP(A42, '4.2'!$A$2:$D$52, 4, FALSE), "")="B",3,IF(IFERROR(VLOOKUP(A42, '4.2'!$A$2:$D$52, 4, FALSE), "")="B-",2.7,IF(IFERROR(VLOOKUP(A42, '4.2'!$A$2:$D$52, 4, FALSE), "")="C+",2.3,IF(IFERROR(VLOOKUP(A42, '4.2'!$A$2:$D$52, 4, FALSE), "")="C",2,IF(IFERROR(VLOOKUP(A42, '4.2'!$A$2:$D$52, 4, FALSE), "")="C-",1.7,IF(IFERROR(VLOOKUP(A42, '4.2'!$A$2:$D$52, 4, FALSE), "")="D+",1.3,IF(IFERROR(VLOOKUP(A42, '4.2'!$A$2:$D$52, 4, FALSE), "")="D",1,IF(IFERROR(VLOOKUP(A42, '4.2'!$A$2:$D$52, 4, FALSE), "")="E",0,"N/A"))))))))))))</f>
        <v>4</v>
      </c>
      <c r="L42" s="29">
        <f t="shared" si="6"/>
        <v>3.5680000000000001</v>
      </c>
      <c r="M42" s="29">
        <f t="shared" si="7"/>
        <v>3.5459999999999998</v>
      </c>
      <c r="N42" s="29" t="str">
        <f t="shared" si="8"/>
        <v>Honours (120 Cr)</v>
      </c>
      <c r="O42" s="30" t="str">
        <f t="shared" si="9"/>
        <v>Second Class Upper</v>
      </c>
    </row>
    <row r="43" spans="1:15" ht="15.75" customHeight="1" x14ac:dyDescent="0.25">
      <c r="A43" s="27" t="s">
        <v>97</v>
      </c>
      <c r="B43" s="27" t="s">
        <v>98</v>
      </c>
      <c r="C43" s="27">
        <v>3.67</v>
      </c>
      <c r="D43" s="27">
        <v>3.64</v>
      </c>
      <c r="E43" s="28">
        <f>'2.1'!H43</f>
        <v>3.9</v>
      </c>
      <c r="F43" s="27">
        <v>3.33</v>
      </c>
      <c r="G43" s="27">
        <f>'3.1'!I43</f>
        <v>3.56</v>
      </c>
      <c r="H43" s="27">
        <v>3.51</v>
      </c>
      <c r="I43" s="29">
        <f t="shared" si="5"/>
        <v>3.6019999999999999</v>
      </c>
      <c r="J43" s="29">
        <f>IFERROR(VLOOKUP(A43, '4.1'!$A$2:$O$52, 15, FALSE), "N/A")</f>
        <v>3.88</v>
      </c>
      <c r="K43" s="29">
        <f>IF(IFERROR(VLOOKUP(A43, '4.2'!$A$2:$D$52, 4, FALSE), "")="A+",4,IF(IFERROR(VLOOKUP(A43, '4.2'!$A$2:$D$52, 4, FALSE), "")="A",4,IF(IFERROR(VLOOKUP(A43, '4.2'!$A$2:$D$52, 4, FALSE), "")="A-",3.7,IF(IFERROR(VLOOKUP(A43, '4.2'!$A$2:$D$52, 4, FALSE), "")="B+",3.3,IF(IFERROR(VLOOKUP(A43, '4.2'!$A$2:$D$52, 4, FALSE), "")="B",3,IF(IFERROR(VLOOKUP(A43, '4.2'!$A$2:$D$52, 4, FALSE), "")="B-",2.7,IF(IFERROR(VLOOKUP(A43, '4.2'!$A$2:$D$52, 4, FALSE), "")="C+",2.3,IF(IFERROR(VLOOKUP(A43, '4.2'!$A$2:$D$52, 4, FALSE), "")="C",2,IF(IFERROR(VLOOKUP(A43, '4.2'!$A$2:$D$52, 4, FALSE), "")="C-",1.7,IF(IFERROR(VLOOKUP(A43, '4.2'!$A$2:$D$52, 4, FALSE), "")="D+",1.3,IF(IFERROR(VLOOKUP(A43, '4.2'!$A$2:$D$52, 4, FALSE), "")="D",1,IF(IFERROR(VLOOKUP(A43, '4.2'!$A$2:$D$52, 4, FALSE), "")="E",0,"N/A"))))))))))))</f>
        <v>3</v>
      </c>
      <c r="L43" s="29">
        <f t="shared" si="6"/>
        <v>3.7040000000000002</v>
      </c>
      <c r="M43" s="29">
        <f t="shared" si="7"/>
        <v>3.6280000000000001</v>
      </c>
      <c r="N43" s="29" t="str">
        <f t="shared" si="8"/>
        <v>Honours (120 Cr)</v>
      </c>
      <c r="O43" s="30" t="str">
        <f t="shared" si="9"/>
        <v>Second Class Upper</v>
      </c>
    </row>
    <row r="44" spans="1:15" ht="15.75" customHeight="1" x14ac:dyDescent="0.25">
      <c r="A44" s="27" t="s">
        <v>99</v>
      </c>
      <c r="B44" s="27" t="s">
        <v>100</v>
      </c>
      <c r="C44" s="27">
        <v>3.92</v>
      </c>
      <c r="D44" s="27">
        <v>3.77</v>
      </c>
      <c r="E44" s="28">
        <f>'2.1'!H44</f>
        <v>3.79</v>
      </c>
      <c r="F44" s="27">
        <v>3.39</v>
      </c>
      <c r="G44" s="27">
        <f>'3.1'!I44</f>
        <v>3.6</v>
      </c>
      <c r="H44" s="27">
        <v>3.86</v>
      </c>
      <c r="I44" s="29">
        <f t="shared" si="5"/>
        <v>3.722</v>
      </c>
      <c r="J44" s="29">
        <f>IFERROR(VLOOKUP(A44, '4.1'!$A$2:$O$52, 15, FALSE), "N/A")</f>
        <v>3.75</v>
      </c>
      <c r="K44" s="29">
        <f>IF(IFERROR(VLOOKUP(A44, '4.2'!$A$2:$D$52, 4, FALSE), "")="A+",4,IF(IFERROR(VLOOKUP(A44, '4.2'!$A$2:$D$52, 4, FALSE), "")="A",4,IF(IFERROR(VLOOKUP(A44, '4.2'!$A$2:$D$52, 4, FALSE), "")="A-",3.7,IF(IFERROR(VLOOKUP(A44, '4.2'!$A$2:$D$52, 4, FALSE), "")="B+",3.3,IF(IFERROR(VLOOKUP(A44, '4.2'!$A$2:$D$52, 4, FALSE), "")="B",3,IF(IFERROR(VLOOKUP(A44, '4.2'!$A$2:$D$52, 4, FALSE), "")="B-",2.7,IF(IFERROR(VLOOKUP(A44, '4.2'!$A$2:$D$52, 4, FALSE), "")="C+",2.3,IF(IFERROR(VLOOKUP(A44, '4.2'!$A$2:$D$52, 4, FALSE), "")="C",2,IF(IFERROR(VLOOKUP(A44, '4.2'!$A$2:$D$52, 4, FALSE), "")="C-",1.7,IF(IFERROR(VLOOKUP(A44, '4.2'!$A$2:$D$52, 4, FALSE), "")="D+",1.3,IF(IFERROR(VLOOKUP(A44, '4.2'!$A$2:$D$52, 4, FALSE), "")="D",1,IF(IFERROR(VLOOKUP(A44, '4.2'!$A$2:$D$52, 4, FALSE), "")="E",0,"N/A"))))))))))))</f>
        <v>4</v>
      </c>
      <c r="L44" s="29">
        <f t="shared" si="6"/>
        <v>3.8</v>
      </c>
      <c r="M44" s="29">
        <f t="shared" si="7"/>
        <v>3.742</v>
      </c>
      <c r="N44" s="29" t="str">
        <f t="shared" si="8"/>
        <v>Honours (120 Cr)</v>
      </c>
      <c r="O44" s="30" t="str">
        <f t="shared" si="9"/>
        <v>First Class</v>
      </c>
    </row>
    <row r="45" spans="1:15" ht="15.75" customHeight="1" x14ac:dyDescent="0.25">
      <c r="A45" s="27" t="s">
        <v>101</v>
      </c>
      <c r="B45" s="27" t="s">
        <v>102</v>
      </c>
      <c r="C45" s="27">
        <v>3.61</v>
      </c>
      <c r="D45" s="27">
        <v>3.65</v>
      </c>
      <c r="E45" s="28">
        <f>'2.1'!H45</f>
        <v>3.71</v>
      </c>
      <c r="F45" s="27">
        <v>3.57</v>
      </c>
      <c r="G45" s="27">
        <f>'3.1'!I45</f>
        <v>3.94</v>
      </c>
      <c r="H45" s="27">
        <v>3.76</v>
      </c>
      <c r="I45" s="29">
        <f t="shared" si="5"/>
        <v>3.7069999999999999</v>
      </c>
      <c r="J45" s="29">
        <f>IFERROR(VLOOKUP(A45, '4.1'!$A$2:$O$52, 15, FALSE), "N/A")</f>
        <v>3.61</v>
      </c>
      <c r="K45" s="29">
        <f>IF(IFERROR(VLOOKUP(A45, '4.2'!$A$2:$D$52, 4, FALSE), "")="A+",4,IF(IFERROR(VLOOKUP(A45, '4.2'!$A$2:$D$52, 4, FALSE), "")="A",4,IF(IFERROR(VLOOKUP(A45, '4.2'!$A$2:$D$52, 4, FALSE), "")="A-",3.7,IF(IFERROR(VLOOKUP(A45, '4.2'!$A$2:$D$52, 4, FALSE), "")="B+",3.3,IF(IFERROR(VLOOKUP(A45, '4.2'!$A$2:$D$52, 4, FALSE), "")="B",3,IF(IFERROR(VLOOKUP(A45, '4.2'!$A$2:$D$52, 4, FALSE), "")="B-",2.7,IF(IFERROR(VLOOKUP(A45, '4.2'!$A$2:$D$52, 4, FALSE), "")="C+",2.3,IF(IFERROR(VLOOKUP(A45, '4.2'!$A$2:$D$52, 4, FALSE), "")="C",2,IF(IFERROR(VLOOKUP(A45, '4.2'!$A$2:$D$52, 4, FALSE), "")="C-",1.7,IF(IFERROR(VLOOKUP(A45, '4.2'!$A$2:$D$52, 4, FALSE), "")="D+",1.3,IF(IFERROR(VLOOKUP(A45, '4.2'!$A$2:$D$52, 4, FALSE), "")="D",1,IF(IFERROR(VLOOKUP(A45, '4.2'!$A$2:$D$52, 4, FALSE), "")="E",0,"N/A"))))))))))))</f>
        <v>4</v>
      </c>
      <c r="L45" s="29">
        <f t="shared" si="6"/>
        <v>3.6880000000000002</v>
      </c>
      <c r="M45" s="29">
        <f t="shared" si="7"/>
        <v>3.702</v>
      </c>
      <c r="N45" s="29" t="str">
        <f t="shared" si="8"/>
        <v>Honours (120 Cr)</v>
      </c>
      <c r="O45" s="30" t="str">
        <f t="shared" si="9"/>
        <v>First Class</v>
      </c>
    </row>
    <row r="46" spans="1:15" ht="15.75" customHeight="1" x14ac:dyDescent="0.25">
      <c r="A46" s="27" t="s">
        <v>103</v>
      </c>
      <c r="B46" s="27" t="s">
        <v>104</v>
      </c>
      <c r="C46" s="27">
        <v>3.88</v>
      </c>
      <c r="D46" s="27">
        <v>3.56</v>
      </c>
      <c r="E46" s="28">
        <f>'2.1'!H46</f>
        <v>3.75</v>
      </c>
      <c r="F46" s="27">
        <v>2.69</v>
      </c>
      <c r="G46" s="27">
        <f>'3.1'!I46</f>
        <v>3.73</v>
      </c>
      <c r="H46" s="27">
        <v>3.69</v>
      </c>
      <c r="I46" s="29">
        <f t="shared" si="5"/>
        <v>3.55</v>
      </c>
      <c r="J46" s="29">
        <f>IFERROR(VLOOKUP(A46, '4.1'!$A$2:$O$52, 15, FALSE), "N/A")</f>
        <v>3.67</v>
      </c>
      <c r="K46" s="29">
        <f>IF(IFERROR(VLOOKUP(A46, '4.2'!$A$2:$D$52, 4, FALSE), "")="A+",4,IF(IFERROR(VLOOKUP(A46, '4.2'!$A$2:$D$52, 4, FALSE), "")="A",4,IF(IFERROR(VLOOKUP(A46, '4.2'!$A$2:$D$52, 4, FALSE), "")="A-",3.7,IF(IFERROR(VLOOKUP(A46, '4.2'!$A$2:$D$52, 4, FALSE), "")="B+",3.3,IF(IFERROR(VLOOKUP(A46, '4.2'!$A$2:$D$52, 4, FALSE), "")="B",3,IF(IFERROR(VLOOKUP(A46, '4.2'!$A$2:$D$52, 4, FALSE), "")="B-",2.7,IF(IFERROR(VLOOKUP(A46, '4.2'!$A$2:$D$52, 4, FALSE), "")="C+",2.3,IF(IFERROR(VLOOKUP(A46, '4.2'!$A$2:$D$52, 4, FALSE), "")="C",2,IF(IFERROR(VLOOKUP(A46, '4.2'!$A$2:$D$52, 4, FALSE), "")="C-",1.7,IF(IFERROR(VLOOKUP(A46, '4.2'!$A$2:$D$52, 4, FALSE), "")="D+",1.3,IF(IFERROR(VLOOKUP(A46, '4.2'!$A$2:$D$52, 4, FALSE), "")="D",1,IF(IFERROR(VLOOKUP(A46, '4.2'!$A$2:$D$52, 4, FALSE), "")="E",0,"N/A"))))))))))))</f>
        <v>3.7</v>
      </c>
      <c r="L46" s="29">
        <f t="shared" si="6"/>
        <v>3.6760000000000002</v>
      </c>
      <c r="M46" s="29">
        <f t="shared" si="7"/>
        <v>3.5819999999999999</v>
      </c>
      <c r="N46" s="29" t="str">
        <f t="shared" si="8"/>
        <v>Honours (120 Cr)</v>
      </c>
      <c r="O46" s="30" t="str">
        <f t="shared" si="9"/>
        <v>Second Class Upper</v>
      </c>
    </row>
    <row r="47" spans="1:15" ht="15.75" customHeight="1" x14ac:dyDescent="0.25">
      <c r="A47" s="27" t="s">
        <v>105</v>
      </c>
      <c r="B47" s="27" t="s">
        <v>106</v>
      </c>
      <c r="C47" s="27">
        <v>2.83</v>
      </c>
      <c r="D47" s="27">
        <v>2.41</v>
      </c>
      <c r="E47" s="28">
        <f>'2.1'!H47</f>
        <v>1.66</v>
      </c>
      <c r="F47" s="27">
        <v>1.6</v>
      </c>
      <c r="G47" s="27">
        <f>'3.1'!I47</f>
        <v>2.2200000000000002</v>
      </c>
      <c r="H47" s="27">
        <v>2.2400000000000002</v>
      </c>
      <c r="I47" s="29">
        <f t="shared" si="5"/>
        <v>2.16</v>
      </c>
      <c r="J47" s="29" t="str">
        <f>IFERROR(VLOOKUP(A47, '4.1'!$A$2:$O$52, 15, FALSE), "N/A")</f>
        <v>N/A</v>
      </c>
      <c r="K47" s="29" t="str">
        <f>IF(IFERROR(VLOOKUP(A47, '4.2'!$A$2:$D$52, 4, FALSE), "")="A+",4,IF(IFERROR(VLOOKUP(A47, '4.2'!$A$2:$D$52, 4, FALSE), "")="A",4,IF(IFERROR(VLOOKUP(A47, '4.2'!$A$2:$D$52, 4, FALSE), "")="A-",3.7,IF(IFERROR(VLOOKUP(A47, '4.2'!$A$2:$D$52, 4, FALSE), "")="B+",3.3,IF(IFERROR(VLOOKUP(A47, '4.2'!$A$2:$D$52, 4, FALSE), "")="B",3,IF(IFERROR(VLOOKUP(A47, '4.2'!$A$2:$D$52, 4, FALSE), "")="B-",2.7,IF(IFERROR(VLOOKUP(A47, '4.2'!$A$2:$D$52, 4, FALSE), "")="C+",2.3,IF(IFERROR(VLOOKUP(A47, '4.2'!$A$2:$D$52, 4, FALSE), "")="C",2,IF(IFERROR(VLOOKUP(A47, '4.2'!$A$2:$D$52, 4, FALSE), "")="C-",1.7,IF(IFERROR(VLOOKUP(A47, '4.2'!$A$2:$D$52, 4, FALSE), "")="D+",1.3,IF(IFERROR(VLOOKUP(A47, '4.2'!$A$2:$D$52, 4, FALSE), "")="D",1,IF(IFERROR(VLOOKUP(A47, '4.2'!$A$2:$D$52, 4, FALSE), "")="E",0,"N/A"))))))))))))</f>
        <v>N/A</v>
      </c>
      <c r="L47" s="29" t="str">
        <f t="shared" si="6"/>
        <v>N/A</v>
      </c>
      <c r="M47" s="29">
        <f t="shared" si="7"/>
        <v>2.16</v>
      </c>
      <c r="N47" s="29" t="str">
        <f t="shared" si="8"/>
        <v>General (90 Cr)</v>
      </c>
      <c r="O47" s="30" t="str">
        <f t="shared" si="9"/>
        <v>General Pass</v>
      </c>
    </row>
    <row r="48" spans="1:15" ht="15.75" customHeight="1" x14ac:dyDescent="0.25">
      <c r="A48" s="27" t="s">
        <v>107</v>
      </c>
      <c r="B48" s="27" t="s">
        <v>108</v>
      </c>
      <c r="C48" s="27">
        <v>3.59</v>
      </c>
      <c r="D48" s="27">
        <v>3.67</v>
      </c>
      <c r="E48" s="28">
        <f>'2.1'!H48</f>
        <v>3.55</v>
      </c>
      <c r="F48" s="27">
        <v>3.31</v>
      </c>
      <c r="G48" s="27">
        <f>'3.1'!I48</f>
        <v>3.66</v>
      </c>
      <c r="H48" s="27">
        <v>3.63</v>
      </c>
      <c r="I48" s="29">
        <f t="shared" si="5"/>
        <v>3.5680000000000001</v>
      </c>
      <c r="J48" s="29">
        <f>IFERROR(VLOOKUP(A48, '4.1'!$A$2:$O$52, 15, FALSE), "N/A")</f>
        <v>3.67</v>
      </c>
      <c r="K48" s="29">
        <f>IF(IFERROR(VLOOKUP(A48, '4.2'!$A$2:$D$52, 4, FALSE), "")="A+",4,IF(IFERROR(VLOOKUP(A48, '4.2'!$A$2:$D$52, 4, FALSE), "")="A",4,IF(IFERROR(VLOOKUP(A48, '4.2'!$A$2:$D$52, 4, FALSE), "")="A-",3.7,IF(IFERROR(VLOOKUP(A48, '4.2'!$A$2:$D$52, 4, FALSE), "")="B+",3.3,IF(IFERROR(VLOOKUP(A48, '4.2'!$A$2:$D$52, 4, FALSE), "")="B",3,IF(IFERROR(VLOOKUP(A48, '4.2'!$A$2:$D$52, 4, FALSE), "")="B-",2.7,IF(IFERROR(VLOOKUP(A48, '4.2'!$A$2:$D$52, 4, FALSE), "")="C+",2.3,IF(IFERROR(VLOOKUP(A48, '4.2'!$A$2:$D$52, 4, FALSE), "")="C",2,IF(IFERROR(VLOOKUP(A48, '4.2'!$A$2:$D$52, 4, FALSE), "")="C-",1.7,IF(IFERROR(VLOOKUP(A48, '4.2'!$A$2:$D$52, 4, FALSE), "")="D+",1.3,IF(IFERROR(VLOOKUP(A48, '4.2'!$A$2:$D$52, 4, FALSE), "")="D",1,IF(IFERROR(VLOOKUP(A48, '4.2'!$A$2:$D$52, 4, FALSE), "")="E",0,"N/A"))))))))))))</f>
        <v>3.7</v>
      </c>
      <c r="L48" s="29">
        <f t="shared" si="6"/>
        <v>3.6760000000000002</v>
      </c>
      <c r="M48" s="29">
        <f t="shared" si="7"/>
        <v>3.5950000000000002</v>
      </c>
      <c r="N48" s="29" t="str">
        <f t="shared" si="8"/>
        <v>Honours (120 Cr)</v>
      </c>
      <c r="O48" s="30" t="str">
        <f t="shared" si="9"/>
        <v>Second Class Upper</v>
      </c>
    </row>
    <row r="49" spans="1:15" ht="15.75" customHeight="1" x14ac:dyDescent="0.25">
      <c r="A49" s="27" t="s">
        <v>109</v>
      </c>
      <c r="B49" s="27" t="s">
        <v>110</v>
      </c>
      <c r="C49" s="27">
        <v>4</v>
      </c>
      <c r="D49" s="27">
        <v>3.5</v>
      </c>
      <c r="E49" s="28">
        <f>'2.1'!H49</f>
        <v>3.57</v>
      </c>
      <c r="F49" s="27">
        <v>2.48</v>
      </c>
      <c r="G49" s="27">
        <f>'3.1'!I49</f>
        <v>3.18</v>
      </c>
      <c r="H49" s="27">
        <v>2.86</v>
      </c>
      <c r="I49" s="29">
        <f t="shared" si="5"/>
        <v>3.2650000000000001</v>
      </c>
      <c r="J49" s="29" t="str">
        <f>IFERROR(VLOOKUP(A49, '4.1'!$A$2:$O$52, 15, FALSE), "N/A")</f>
        <v>N/A</v>
      </c>
      <c r="K49" s="29" t="str">
        <f>IF(IFERROR(VLOOKUP(A49, '4.2'!$A$2:$D$52, 4, FALSE), "")="A+",4,IF(IFERROR(VLOOKUP(A49, '4.2'!$A$2:$D$52, 4, FALSE), "")="A",4,IF(IFERROR(VLOOKUP(A49, '4.2'!$A$2:$D$52, 4, FALSE), "")="A-",3.7,IF(IFERROR(VLOOKUP(A49, '4.2'!$A$2:$D$52, 4, FALSE), "")="B+",3.3,IF(IFERROR(VLOOKUP(A49, '4.2'!$A$2:$D$52, 4, FALSE), "")="B",3,IF(IFERROR(VLOOKUP(A49, '4.2'!$A$2:$D$52, 4, FALSE), "")="B-",2.7,IF(IFERROR(VLOOKUP(A49, '4.2'!$A$2:$D$52, 4, FALSE), "")="C+",2.3,IF(IFERROR(VLOOKUP(A49, '4.2'!$A$2:$D$52, 4, FALSE), "")="C",2,IF(IFERROR(VLOOKUP(A49, '4.2'!$A$2:$D$52, 4, FALSE), "")="C-",1.7,IF(IFERROR(VLOOKUP(A49, '4.2'!$A$2:$D$52, 4, FALSE), "")="D+",1.3,IF(IFERROR(VLOOKUP(A49, '4.2'!$A$2:$D$52, 4, FALSE), "")="D",1,IF(IFERROR(VLOOKUP(A49, '4.2'!$A$2:$D$52, 4, FALSE), "")="E",0,"N/A"))))))))))))</f>
        <v>N/A</v>
      </c>
      <c r="L49" s="29" t="str">
        <f t="shared" si="6"/>
        <v>N/A</v>
      </c>
      <c r="M49" s="29">
        <f t="shared" si="7"/>
        <v>3.2650000000000001</v>
      </c>
      <c r="N49" s="29" t="str">
        <f t="shared" si="8"/>
        <v>General (90 Cr)</v>
      </c>
      <c r="O49" s="30" t="str">
        <f t="shared" si="9"/>
        <v>Second Class Lower</v>
      </c>
    </row>
    <row r="50" spans="1:15" ht="15.75" customHeight="1" x14ac:dyDescent="0.25">
      <c r="A50" s="27" t="s">
        <v>111</v>
      </c>
      <c r="B50" s="27" t="s">
        <v>112</v>
      </c>
      <c r="C50" s="27">
        <v>3.86</v>
      </c>
      <c r="D50" s="27">
        <v>3.73</v>
      </c>
      <c r="E50" s="28">
        <f>'2.1'!H50</f>
        <v>3.87</v>
      </c>
      <c r="F50" s="27">
        <v>3.34</v>
      </c>
      <c r="G50" s="27">
        <f>'3.1'!I50</f>
        <v>3.67</v>
      </c>
      <c r="H50" s="27">
        <v>3.76</v>
      </c>
      <c r="I50" s="29">
        <f t="shared" si="5"/>
        <v>3.7050000000000001</v>
      </c>
      <c r="J50" s="29">
        <f>IFERROR(VLOOKUP(A50, '4.1'!$A$2:$O$52, 15, FALSE), "N/A")</f>
        <v>3.9</v>
      </c>
      <c r="K50" s="29">
        <f>IF(IFERROR(VLOOKUP(A50, '4.2'!$A$2:$D$52, 4, FALSE), "")="A+",4,IF(IFERROR(VLOOKUP(A50, '4.2'!$A$2:$D$52, 4, FALSE), "")="A",4,IF(IFERROR(VLOOKUP(A50, '4.2'!$A$2:$D$52, 4, FALSE), "")="A-",3.7,IF(IFERROR(VLOOKUP(A50, '4.2'!$A$2:$D$52, 4, FALSE), "")="B+",3.3,IF(IFERROR(VLOOKUP(A50, '4.2'!$A$2:$D$52, 4, FALSE), "")="B",3,IF(IFERROR(VLOOKUP(A50, '4.2'!$A$2:$D$52, 4, FALSE), "")="B-",2.7,IF(IFERROR(VLOOKUP(A50, '4.2'!$A$2:$D$52, 4, FALSE), "")="C+",2.3,IF(IFERROR(VLOOKUP(A50, '4.2'!$A$2:$D$52, 4, FALSE), "")="C",2,IF(IFERROR(VLOOKUP(A50, '4.2'!$A$2:$D$52, 4, FALSE), "")="C-",1.7,IF(IFERROR(VLOOKUP(A50, '4.2'!$A$2:$D$52, 4, FALSE), "")="D+",1.3,IF(IFERROR(VLOOKUP(A50, '4.2'!$A$2:$D$52, 4, FALSE), "")="D",1,IF(IFERROR(VLOOKUP(A50, '4.2'!$A$2:$D$52, 4, FALSE), "")="E",0,"N/A"))))))))))))</f>
        <v>3.7</v>
      </c>
      <c r="L50" s="29">
        <f t="shared" si="6"/>
        <v>3.86</v>
      </c>
      <c r="M50" s="29">
        <f t="shared" si="7"/>
        <v>3.7440000000000002</v>
      </c>
      <c r="N50" s="29" t="str">
        <f t="shared" si="8"/>
        <v>Honours (120 Cr)</v>
      </c>
      <c r="O50" s="30" t="str">
        <f t="shared" si="9"/>
        <v>First Class</v>
      </c>
    </row>
    <row r="51" spans="1:15" ht="15.75" customHeight="1" x14ac:dyDescent="0.25">
      <c r="A51" s="27" t="s">
        <v>113</v>
      </c>
      <c r="B51" s="27" t="s">
        <v>114</v>
      </c>
      <c r="C51" s="27">
        <v>3.58</v>
      </c>
      <c r="D51" s="27">
        <v>3.58</v>
      </c>
      <c r="E51" s="28">
        <f>'2.1'!H51</f>
        <v>2.93</v>
      </c>
      <c r="F51" s="27">
        <v>2.65</v>
      </c>
      <c r="G51" s="27">
        <f>'3.1'!I51</f>
        <v>3.13</v>
      </c>
      <c r="H51" s="27">
        <v>3.15</v>
      </c>
      <c r="I51" s="29">
        <f t="shared" si="5"/>
        <v>3.17</v>
      </c>
      <c r="J51" s="29">
        <f>IFERROR(VLOOKUP(A51, '4.1'!$A$2:$O$52, 15, FALSE), "N/A")</f>
        <v>3.18</v>
      </c>
      <c r="K51" s="29">
        <f>IF(IFERROR(VLOOKUP(A51, '4.2'!$A$2:$D$52, 4, FALSE), "")="A+",4,IF(IFERROR(VLOOKUP(A51, '4.2'!$A$2:$D$52, 4, FALSE), "")="A",4,IF(IFERROR(VLOOKUP(A51, '4.2'!$A$2:$D$52, 4, FALSE), "")="A-",3.7,IF(IFERROR(VLOOKUP(A51, '4.2'!$A$2:$D$52, 4, FALSE), "")="B+",3.3,IF(IFERROR(VLOOKUP(A51, '4.2'!$A$2:$D$52, 4, FALSE), "")="B",3,IF(IFERROR(VLOOKUP(A51, '4.2'!$A$2:$D$52, 4, FALSE), "")="B-",2.7,IF(IFERROR(VLOOKUP(A51, '4.2'!$A$2:$D$52, 4, FALSE), "")="C+",2.3,IF(IFERROR(VLOOKUP(A51, '4.2'!$A$2:$D$52, 4, FALSE), "")="C",2,IF(IFERROR(VLOOKUP(A51, '4.2'!$A$2:$D$52, 4, FALSE), "")="C-",1.7,IF(IFERROR(VLOOKUP(A51, '4.2'!$A$2:$D$52, 4, FALSE), "")="D+",1.3,IF(IFERROR(VLOOKUP(A51, '4.2'!$A$2:$D$52, 4, FALSE), "")="D",1,IF(IFERROR(VLOOKUP(A51, '4.2'!$A$2:$D$52, 4, FALSE), "")="E",0,"N/A"))))))))))))</f>
        <v>3.7</v>
      </c>
      <c r="L51" s="29">
        <f t="shared" si="6"/>
        <v>3.2839999999999998</v>
      </c>
      <c r="M51" s="29">
        <f t="shared" si="7"/>
        <v>3.1989999999999998</v>
      </c>
      <c r="N51" s="29" t="str">
        <f t="shared" si="8"/>
        <v>Honours (120 Cr)</v>
      </c>
      <c r="O51" s="30" t="str">
        <f t="shared" si="9"/>
        <v>Second Class Lower</v>
      </c>
    </row>
    <row r="52" spans="1:15" ht="15.75" customHeight="1" x14ac:dyDescent="0.25">
      <c r="A52" s="27" t="s">
        <v>115</v>
      </c>
      <c r="B52" s="27" t="s">
        <v>116</v>
      </c>
      <c r="C52" s="27">
        <v>3.05</v>
      </c>
      <c r="D52" s="27">
        <v>3.57</v>
      </c>
      <c r="E52" s="28">
        <f>'2.1'!H52</f>
        <v>3.29</v>
      </c>
      <c r="F52" s="27">
        <v>2.93</v>
      </c>
      <c r="G52" s="27">
        <f>'3.1'!I52</f>
        <v>3.7</v>
      </c>
      <c r="H52" s="27">
        <v>3.51</v>
      </c>
      <c r="I52" s="29">
        <f t="shared" si="5"/>
        <v>3.3420000000000001</v>
      </c>
      <c r="J52" s="29">
        <f>IFERROR(VLOOKUP(A52, '4.1'!$A$2:$O$52, 15, FALSE), "N/A")</f>
        <v>3.4</v>
      </c>
      <c r="K52" s="29">
        <f>IF(IFERROR(VLOOKUP(A52, '4.2'!$A$2:$D$52, 4, FALSE), "")="A+",4,IF(IFERROR(VLOOKUP(A52, '4.2'!$A$2:$D$52, 4, FALSE), "")="A",4,IF(IFERROR(VLOOKUP(A52, '4.2'!$A$2:$D$52, 4, FALSE), "")="A-",3.7,IF(IFERROR(VLOOKUP(A52, '4.2'!$A$2:$D$52, 4, FALSE), "")="B+",3.3,IF(IFERROR(VLOOKUP(A52, '4.2'!$A$2:$D$52, 4, FALSE), "")="B",3,IF(IFERROR(VLOOKUP(A52, '4.2'!$A$2:$D$52, 4, FALSE), "")="B-",2.7,IF(IFERROR(VLOOKUP(A52, '4.2'!$A$2:$D$52, 4, FALSE), "")="C+",2.3,IF(IFERROR(VLOOKUP(A52, '4.2'!$A$2:$D$52, 4, FALSE), "")="C",2,IF(IFERROR(VLOOKUP(A52, '4.2'!$A$2:$D$52, 4, FALSE), "")="C-",1.7,IF(IFERROR(VLOOKUP(A52, '4.2'!$A$2:$D$52, 4, FALSE), "")="D+",1.3,IF(IFERROR(VLOOKUP(A52, '4.2'!$A$2:$D$52, 4, FALSE), "")="D",1,IF(IFERROR(VLOOKUP(A52, '4.2'!$A$2:$D$52, 4, FALSE), "")="E",0,"N/A"))))))))))))</f>
        <v>4</v>
      </c>
      <c r="L52" s="29">
        <f t="shared" si="6"/>
        <v>3.52</v>
      </c>
      <c r="M52" s="29">
        <f t="shared" si="7"/>
        <v>3.387</v>
      </c>
      <c r="N52" s="29" t="str">
        <f t="shared" si="8"/>
        <v>Honours (120 Cr)</v>
      </c>
      <c r="O52" s="30" t="str">
        <f t="shared" si="9"/>
        <v>Second Class Upper</v>
      </c>
    </row>
    <row r="53" spans="1:15" ht="15.75" customHeight="1" x14ac:dyDescent="0.25">
      <c r="A53" s="27" t="s">
        <v>117</v>
      </c>
      <c r="B53" s="27" t="s">
        <v>118</v>
      </c>
      <c r="C53" s="27">
        <v>3.85</v>
      </c>
      <c r="D53" s="27">
        <v>3.55</v>
      </c>
      <c r="E53" s="28">
        <f>'2.1'!H53</f>
        <v>3.71</v>
      </c>
      <c r="F53" s="27">
        <v>3.41</v>
      </c>
      <c r="G53" s="27">
        <f>'3.1'!I53</f>
        <v>4</v>
      </c>
      <c r="H53" s="27">
        <v>3.59</v>
      </c>
      <c r="I53" s="29">
        <f t="shared" si="5"/>
        <v>3.6850000000000001</v>
      </c>
      <c r="J53" s="29">
        <f>IFERROR(VLOOKUP(A53, '4.1'!$A$2:$O$52, 15, FALSE), "N/A")</f>
        <v>3.6</v>
      </c>
      <c r="K53" s="29">
        <f>IF(IFERROR(VLOOKUP(A53, '4.2'!$A$2:$D$52, 4, FALSE), "")="A+",4,IF(IFERROR(VLOOKUP(A53, '4.2'!$A$2:$D$52, 4, FALSE), "")="A",4,IF(IFERROR(VLOOKUP(A53, '4.2'!$A$2:$D$52, 4, FALSE), "")="A-",3.7,IF(IFERROR(VLOOKUP(A53, '4.2'!$A$2:$D$52, 4, FALSE), "")="B+",3.3,IF(IFERROR(VLOOKUP(A53, '4.2'!$A$2:$D$52, 4, FALSE), "")="B",3,IF(IFERROR(VLOOKUP(A53, '4.2'!$A$2:$D$52, 4, FALSE), "")="B-",2.7,IF(IFERROR(VLOOKUP(A53, '4.2'!$A$2:$D$52, 4, FALSE), "")="C+",2.3,IF(IFERROR(VLOOKUP(A53, '4.2'!$A$2:$D$52, 4, FALSE), "")="C",2,IF(IFERROR(VLOOKUP(A53, '4.2'!$A$2:$D$52, 4, FALSE), "")="C-",1.7,IF(IFERROR(VLOOKUP(A53, '4.2'!$A$2:$D$52, 4, FALSE), "")="D+",1.3,IF(IFERROR(VLOOKUP(A53, '4.2'!$A$2:$D$52, 4, FALSE), "")="D",1,IF(IFERROR(VLOOKUP(A53, '4.2'!$A$2:$D$52, 4, FALSE), "")="E",0,"N/A"))))))))))))</f>
        <v>4</v>
      </c>
      <c r="L53" s="29">
        <f t="shared" si="6"/>
        <v>3.68</v>
      </c>
      <c r="M53" s="29">
        <f t="shared" si="7"/>
        <v>3.6840000000000002</v>
      </c>
      <c r="N53" s="29" t="str">
        <f t="shared" si="8"/>
        <v>Honours (120 Cr)</v>
      </c>
      <c r="O53" s="30" t="str">
        <f t="shared" si="9"/>
        <v>Second Class Upper</v>
      </c>
    </row>
    <row r="54" spans="1:15" ht="15.75" customHeight="1" x14ac:dyDescent="0.25">
      <c r="A54" s="27" t="s">
        <v>119</v>
      </c>
      <c r="B54" s="27" t="s">
        <v>120</v>
      </c>
      <c r="C54" s="27">
        <v>3.82</v>
      </c>
      <c r="D54" s="27">
        <v>3.22</v>
      </c>
      <c r="E54" s="28">
        <f>'2.1'!H54</f>
        <v>2.83</v>
      </c>
      <c r="F54" s="27">
        <v>2.94</v>
      </c>
      <c r="G54" s="27">
        <f>'3.1'!I54</f>
        <v>3.48</v>
      </c>
      <c r="H54" s="27">
        <v>3.61</v>
      </c>
      <c r="I54" s="29">
        <f t="shared" si="5"/>
        <v>3.3170000000000002</v>
      </c>
      <c r="J54" s="29">
        <f>IFERROR(VLOOKUP(A54, '4.1'!$A$2:$O$52, 15, FALSE), "N/A")</f>
        <v>3.72</v>
      </c>
      <c r="K54" s="29">
        <f>IF(IFERROR(VLOOKUP(A54, '4.2'!$A$2:$D$52, 4, FALSE), "")="A+",4,IF(IFERROR(VLOOKUP(A54, '4.2'!$A$2:$D$52, 4, FALSE), "")="A",4,IF(IFERROR(VLOOKUP(A54, '4.2'!$A$2:$D$52, 4, FALSE), "")="A-",3.7,IF(IFERROR(VLOOKUP(A54, '4.2'!$A$2:$D$52, 4, FALSE), "")="B+",3.3,IF(IFERROR(VLOOKUP(A54, '4.2'!$A$2:$D$52, 4, FALSE), "")="B",3,IF(IFERROR(VLOOKUP(A54, '4.2'!$A$2:$D$52, 4, FALSE), "")="B-",2.7,IF(IFERROR(VLOOKUP(A54, '4.2'!$A$2:$D$52, 4, FALSE), "")="C+",2.3,IF(IFERROR(VLOOKUP(A54, '4.2'!$A$2:$D$52, 4, FALSE), "")="C",2,IF(IFERROR(VLOOKUP(A54, '4.2'!$A$2:$D$52, 4, FALSE), "")="C-",1.7,IF(IFERROR(VLOOKUP(A54, '4.2'!$A$2:$D$52, 4, FALSE), "")="D+",1.3,IF(IFERROR(VLOOKUP(A54, '4.2'!$A$2:$D$52, 4, FALSE), "")="D",1,IF(IFERROR(VLOOKUP(A54, '4.2'!$A$2:$D$52, 4, FALSE), "")="E",0,"N/A"))))))))))))</f>
        <v>4</v>
      </c>
      <c r="L54" s="29">
        <f t="shared" si="6"/>
        <v>3.7759999999999998</v>
      </c>
      <c r="M54" s="29">
        <f t="shared" si="7"/>
        <v>3.4319999999999999</v>
      </c>
      <c r="N54" s="29" t="str">
        <f t="shared" si="8"/>
        <v>Honours (120 Cr)</v>
      </c>
      <c r="O54" s="30" t="str">
        <f t="shared" si="9"/>
        <v>Second Class Upper</v>
      </c>
    </row>
    <row r="55" spans="1:15" ht="15.75" customHeight="1" x14ac:dyDescent="0.25">
      <c r="A55" s="27" t="s">
        <v>121</v>
      </c>
      <c r="B55" s="27" t="s">
        <v>122</v>
      </c>
      <c r="C55" s="27">
        <v>2.87</v>
      </c>
      <c r="D55" s="27">
        <v>2.7</v>
      </c>
      <c r="E55" s="28">
        <f>'2.1'!H55</f>
        <v>2.69</v>
      </c>
      <c r="F55" s="27">
        <v>2.0499999999999998</v>
      </c>
      <c r="G55" s="27">
        <f>'3.1'!I55</f>
        <v>2.9</v>
      </c>
      <c r="H55" s="27">
        <v>2.64</v>
      </c>
      <c r="I55" s="29">
        <f t="shared" si="5"/>
        <v>2.6419999999999999</v>
      </c>
      <c r="J55" s="29" t="str">
        <f>IFERROR(VLOOKUP(A55, '4.1'!$A$2:$O$52, 15, FALSE), "N/A")</f>
        <v>N/A</v>
      </c>
      <c r="K55" s="29" t="str">
        <f>IF(IFERROR(VLOOKUP(A55, '4.2'!$A$2:$D$52, 4, FALSE), "")="A+",4,IF(IFERROR(VLOOKUP(A55, '4.2'!$A$2:$D$52, 4, FALSE), "")="A",4,IF(IFERROR(VLOOKUP(A55, '4.2'!$A$2:$D$52, 4, FALSE), "")="A-",3.7,IF(IFERROR(VLOOKUP(A55, '4.2'!$A$2:$D$52, 4, FALSE), "")="B+",3.3,IF(IFERROR(VLOOKUP(A55, '4.2'!$A$2:$D$52, 4, FALSE), "")="B",3,IF(IFERROR(VLOOKUP(A55, '4.2'!$A$2:$D$52, 4, FALSE), "")="B-",2.7,IF(IFERROR(VLOOKUP(A55, '4.2'!$A$2:$D$52, 4, FALSE), "")="C+",2.3,IF(IFERROR(VLOOKUP(A55, '4.2'!$A$2:$D$52, 4, FALSE), "")="C",2,IF(IFERROR(VLOOKUP(A55, '4.2'!$A$2:$D$52, 4, FALSE), "")="C-",1.7,IF(IFERROR(VLOOKUP(A55, '4.2'!$A$2:$D$52, 4, FALSE), "")="D+",1.3,IF(IFERROR(VLOOKUP(A55, '4.2'!$A$2:$D$52, 4, FALSE), "")="D",1,IF(IFERROR(VLOOKUP(A55, '4.2'!$A$2:$D$52, 4, FALSE), "")="E",0,"N/A"))))))))))))</f>
        <v>N/A</v>
      </c>
      <c r="L55" s="29" t="str">
        <f t="shared" si="6"/>
        <v>N/A</v>
      </c>
      <c r="M55" s="29">
        <f t="shared" si="7"/>
        <v>2.6419999999999999</v>
      </c>
      <c r="N55" s="29" t="str">
        <f t="shared" si="8"/>
        <v>General (90 Cr)</v>
      </c>
      <c r="O55" s="30" t="str">
        <f t="shared" si="9"/>
        <v>General Pass</v>
      </c>
    </row>
    <row r="56" spans="1:15" ht="15.75" customHeight="1" x14ac:dyDescent="0.25">
      <c r="A56" s="27" t="s">
        <v>123</v>
      </c>
      <c r="B56" s="27" t="s">
        <v>124</v>
      </c>
      <c r="C56" s="27">
        <v>3.67</v>
      </c>
      <c r="D56" s="27">
        <v>3.52</v>
      </c>
      <c r="E56" s="28">
        <f>'2.1'!H56</f>
        <v>2.92</v>
      </c>
      <c r="F56" s="27">
        <v>2.67</v>
      </c>
      <c r="G56" s="27">
        <f>'3.1'!I56</f>
        <v>3.55</v>
      </c>
      <c r="H56" s="27">
        <v>3.61</v>
      </c>
      <c r="I56" s="29">
        <f t="shared" si="5"/>
        <v>3.323</v>
      </c>
      <c r="J56" s="29">
        <f>IFERROR(VLOOKUP(A56, '4.1'!$A$2:$O$52, 15, FALSE), "N/A")</f>
        <v>3.28</v>
      </c>
      <c r="K56" s="29">
        <f>IF(IFERROR(VLOOKUP(A56, '4.2'!$A$2:$D$52, 4, FALSE), "")="A+",4,IF(IFERROR(VLOOKUP(A56, '4.2'!$A$2:$D$52, 4, FALSE), "")="A",4,IF(IFERROR(VLOOKUP(A56, '4.2'!$A$2:$D$52, 4, FALSE), "")="A-",3.7,IF(IFERROR(VLOOKUP(A56, '4.2'!$A$2:$D$52, 4, FALSE), "")="B+",3.3,IF(IFERROR(VLOOKUP(A56, '4.2'!$A$2:$D$52, 4, FALSE), "")="B",3,IF(IFERROR(VLOOKUP(A56, '4.2'!$A$2:$D$52, 4, FALSE), "")="B-",2.7,IF(IFERROR(VLOOKUP(A56, '4.2'!$A$2:$D$52, 4, FALSE), "")="C+",2.3,IF(IFERROR(VLOOKUP(A56, '4.2'!$A$2:$D$52, 4, FALSE), "")="C",2,IF(IFERROR(VLOOKUP(A56, '4.2'!$A$2:$D$52, 4, FALSE), "")="C-",1.7,IF(IFERROR(VLOOKUP(A56, '4.2'!$A$2:$D$52, 4, FALSE), "")="D+",1.3,IF(IFERROR(VLOOKUP(A56, '4.2'!$A$2:$D$52, 4, FALSE), "")="D",1,IF(IFERROR(VLOOKUP(A56, '4.2'!$A$2:$D$52, 4, FALSE), "")="E",0,"N/A"))))))))))))</f>
        <v>4</v>
      </c>
      <c r="L56" s="29">
        <f t="shared" si="6"/>
        <v>3.4239999999999999</v>
      </c>
      <c r="M56" s="29">
        <f t="shared" si="7"/>
        <v>3.3479999999999999</v>
      </c>
      <c r="N56" s="29" t="str">
        <f t="shared" si="8"/>
        <v>Honours (120 Cr)</v>
      </c>
      <c r="O56" s="30" t="str">
        <f t="shared" si="9"/>
        <v>Second Class Upper</v>
      </c>
    </row>
    <row r="57" spans="1:15" ht="15.75" customHeight="1" x14ac:dyDescent="0.25">
      <c r="A57" s="27" t="s">
        <v>125</v>
      </c>
      <c r="B57" s="27" t="s">
        <v>126</v>
      </c>
      <c r="C57" s="27">
        <v>3.05</v>
      </c>
      <c r="D57" s="27">
        <v>3.6</v>
      </c>
      <c r="E57" s="28">
        <f>'2.1'!H57</f>
        <v>3.07</v>
      </c>
      <c r="F57" s="27">
        <v>3.17</v>
      </c>
      <c r="G57" s="27">
        <f>'3.1'!I57</f>
        <v>3.8</v>
      </c>
      <c r="H57" s="27">
        <v>3.57</v>
      </c>
      <c r="I57" s="29">
        <f t="shared" si="5"/>
        <v>3.3769999999999998</v>
      </c>
      <c r="J57" s="29">
        <f>IFERROR(VLOOKUP(A57, '4.1'!$A$2:$O$52, 15, FALSE), "N/A")</f>
        <v>3.74</v>
      </c>
      <c r="K57" s="29">
        <f>IF(IFERROR(VLOOKUP(A57, '4.2'!$A$2:$D$52, 4, FALSE), "")="A+",4,IF(IFERROR(VLOOKUP(A57, '4.2'!$A$2:$D$52, 4, FALSE), "")="A",4,IF(IFERROR(VLOOKUP(A57, '4.2'!$A$2:$D$52, 4, FALSE), "")="A-",3.7,IF(IFERROR(VLOOKUP(A57, '4.2'!$A$2:$D$52, 4, FALSE), "")="B+",3.3,IF(IFERROR(VLOOKUP(A57, '4.2'!$A$2:$D$52, 4, FALSE), "")="B",3,IF(IFERROR(VLOOKUP(A57, '4.2'!$A$2:$D$52, 4, FALSE), "")="B-",2.7,IF(IFERROR(VLOOKUP(A57, '4.2'!$A$2:$D$52, 4, FALSE), "")="C+",2.3,IF(IFERROR(VLOOKUP(A57, '4.2'!$A$2:$D$52, 4, FALSE), "")="C",2,IF(IFERROR(VLOOKUP(A57, '4.2'!$A$2:$D$52, 4, FALSE), "")="C-",1.7,IF(IFERROR(VLOOKUP(A57, '4.2'!$A$2:$D$52, 4, FALSE), "")="D+",1.3,IF(IFERROR(VLOOKUP(A57, '4.2'!$A$2:$D$52, 4, FALSE), "")="D",1,IF(IFERROR(VLOOKUP(A57, '4.2'!$A$2:$D$52, 4, FALSE), "")="E",0,"N/A"))))))))))))</f>
        <v>4</v>
      </c>
      <c r="L57" s="29">
        <f t="shared" si="6"/>
        <v>3.7919999999999998</v>
      </c>
      <c r="M57" s="29">
        <f t="shared" si="7"/>
        <v>3.4809999999999999</v>
      </c>
      <c r="N57" s="29" t="str">
        <f t="shared" si="8"/>
        <v>Honours (120 Cr)</v>
      </c>
      <c r="O57" s="30" t="str">
        <f t="shared" si="9"/>
        <v>Second Class Upper</v>
      </c>
    </row>
    <row r="58" spans="1:15" ht="15.75" customHeight="1" x14ac:dyDescent="0.25">
      <c r="A58" s="27" t="s">
        <v>127</v>
      </c>
      <c r="B58" s="27" t="s">
        <v>128</v>
      </c>
      <c r="C58" s="27">
        <v>4</v>
      </c>
      <c r="D58" s="27">
        <v>3.6</v>
      </c>
      <c r="E58" s="28">
        <f>'2.1'!H58</f>
        <v>3.79</v>
      </c>
      <c r="F58" s="27">
        <v>3.49</v>
      </c>
      <c r="G58" s="27">
        <f>'3.1'!I58</f>
        <v>3.94</v>
      </c>
      <c r="H58" s="27">
        <v>3.96</v>
      </c>
      <c r="I58" s="29">
        <f t="shared" si="5"/>
        <v>3.7970000000000002</v>
      </c>
      <c r="J58" s="29">
        <f>IFERROR(VLOOKUP(A58, '4.1'!$A$2:$O$52, 15, FALSE), "N/A")</f>
        <v>3.81</v>
      </c>
      <c r="K58" s="29">
        <f>IF(IFERROR(VLOOKUP(A58, '4.2'!$A$2:$D$52, 4, FALSE), "")="A+",4,IF(IFERROR(VLOOKUP(A58, '4.2'!$A$2:$D$52, 4, FALSE), "")="A",4,IF(IFERROR(VLOOKUP(A58, '4.2'!$A$2:$D$52, 4, FALSE), "")="A-",3.7,IF(IFERROR(VLOOKUP(A58, '4.2'!$A$2:$D$52, 4, FALSE), "")="B+",3.3,IF(IFERROR(VLOOKUP(A58, '4.2'!$A$2:$D$52, 4, FALSE), "")="B",3,IF(IFERROR(VLOOKUP(A58, '4.2'!$A$2:$D$52, 4, FALSE), "")="B-",2.7,IF(IFERROR(VLOOKUP(A58, '4.2'!$A$2:$D$52, 4, FALSE), "")="C+",2.3,IF(IFERROR(VLOOKUP(A58, '4.2'!$A$2:$D$52, 4, FALSE), "")="C",2,IF(IFERROR(VLOOKUP(A58, '4.2'!$A$2:$D$52, 4, FALSE), "")="C-",1.7,IF(IFERROR(VLOOKUP(A58, '4.2'!$A$2:$D$52, 4, FALSE), "")="D+",1.3,IF(IFERROR(VLOOKUP(A58, '4.2'!$A$2:$D$52, 4, FALSE), "")="D",1,IF(IFERROR(VLOOKUP(A58, '4.2'!$A$2:$D$52, 4, FALSE), "")="E",0,"N/A"))))))))))))</f>
        <v>4</v>
      </c>
      <c r="L58" s="29">
        <f t="shared" si="6"/>
        <v>3.8479999999999999</v>
      </c>
      <c r="M58" s="29">
        <f t="shared" si="7"/>
        <v>3.81</v>
      </c>
      <c r="N58" s="29" t="str">
        <f t="shared" si="8"/>
        <v>Honours (120 Cr)</v>
      </c>
      <c r="O58" s="30" t="str">
        <f t="shared" si="9"/>
        <v>First Class</v>
      </c>
    </row>
    <row r="59" spans="1:15" ht="15.75" customHeight="1" x14ac:dyDescent="0.25">
      <c r="A59" s="27" t="s">
        <v>129</v>
      </c>
      <c r="B59" s="27" t="s">
        <v>130</v>
      </c>
      <c r="C59" s="27">
        <v>3.15</v>
      </c>
      <c r="D59" s="27">
        <v>2.75</v>
      </c>
      <c r="E59" s="28">
        <f>'2.1'!H59</f>
        <v>2.4900000000000002</v>
      </c>
      <c r="F59" s="27">
        <v>2.52</v>
      </c>
      <c r="G59" s="27">
        <f>'3.1'!I59</f>
        <v>2.97</v>
      </c>
      <c r="H59" s="27">
        <v>2.8</v>
      </c>
      <c r="I59" s="29">
        <f t="shared" si="5"/>
        <v>2.78</v>
      </c>
      <c r="J59" s="29" t="str">
        <f>IFERROR(VLOOKUP(A59, '4.1'!$A$2:$O$52, 15, FALSE), "N/A")</f>
        <v>N/A</v>
      </c>
      <c r="K59" s="29" t="str">
        <f>IF(IFERROR(VLOOKUP(A59, '4.2'!$A$2:$D$52, 4, FALSE), "")="A+",4,IF(IFERROR(VLOOKUP(A59, '4.2'!$A$2:$D$52, 4, FALSE), "")="A",4,IF(IFERROR(VLOOKUP(A59, '4.2'!$A$2:$D$52, 4, FALSE), "")="A-",3.7,IF(IFERROR(VLOOKUP(A59, '4.2'!$A$2:$D$52, 4, FALSE), "")="B+",3.3,IF(IFERROR(VLOOKUP(A59, '4.2'!$A$2:$D$52, 4, FALSE), "")="B",3,IF(IFERROR(VLOOKUP(A59, '4.2'!$A$2:$D$52, 4, FALSE), "")="B-",2.7,IF(IFERROR(VLOOKUP(A59, '4.2'!$A$2:$D$52, 4, FALSE), "")="C+",2.3,IF(IFERROR(VLOOKUP(A59, '4.2'!$A$2:$D$52, 4, FALSE), "")="C",2,IF(IFERROR(VLOOKUP(A59, '4.2'!$A$2:$D$52, 4, FALSE), "")="C-",1.7,IF(IFERROR(VLOOKUP(A59, '4.2'!$A$2:$D$52, 4, FALSE), "")="D+",1.3,IF(IFERROR(VLOOKUP(A59, '4.2'!$A$2:$D$52, 4, FALSE), "")="D",1,IF(IFERROR(VLOOKUP(A59, '4.2'!$A$2:$D$52, 4, FALSE), "")="E",0,"N/A"))))))))))))</f>
        <v>N/A</v>
      </c>
      <c r="L59" s="29" t="str">
        <f t="shared" si="6"/>
        <v>N/A</v>
      </c>
      <c r="M59" s="29">
        <f t="shared" si="7"/>
        <v>2.78</v>
      </c>
      <c r="N59" s="29" t="str">
        <f t="shared" si="8"/>
        <v>General (90 Cr)</v>
      </c>
      <c r="O59" s="30" t="str">
        <f t="shared" si="9"/>
        <v>General Pass</v>
      </c>
    </row>
    <row r="60" spans="1:15" ht="15.75" customHeight="1" x14ac:dyDescent="0.25">
      <c r="A60" s="27" t="s">
        <v>131</v>
      </c>
      <c r="B60" s="27" t="s">
        <v>132</v>
      </c>
      <c r="C60" s="27">
        <v>3.25</v>
      </c>
      <c r="D60" s="27">
        <v>3.01</v>
      </c>
      <c r="E60" s="28">
        <f>'2.1'!H60</f>
        <v>2.23</v>
      </c>
      <c r="F60" s="27">
        <v>2.78</v>
      </c>
      <c r="G60" s="27">
        <f>'3.1'!I60</f>
        <v>2.99</v>
      </c>
      <c r="H60" s="27">
        <v>2.84</v>
      </c>
      <c r="I60" s="29">
        <f t="shared" si="5"/>
        <v>2.85</v>
      </c>
      <c r="J60" s="29" t="str">
        <f>IFERROR(VLOOKUP(A60, '4.1'!$A$2:$O$52, 15, FALSE), "N/A")</f>
        <v>N/A</v>
      </c>
      <c r="K60" s="29" t="str">
        <f>IF(IFERROR(VLOOKUP(A60, '4.2'!$A$2:$D$52, 4, FALSE), "")="A+",4,IF(IFERROR(VLOOKUP(A60, '4.2'!$A$2:$D$52, 4, FALSE), "")="A",4,IF(IFERROR(VLOOKUP(A60, '4.2'!$A$2:$D$52, 4, FALSE), "")="A-",3.7,IF(IFERROR(VLOOKUP(A60, '4.2'!$A$2:$D$52, 4, FALSE), "")="B+",3.3,IF(IFERROR(VLOOKUP(A60, '4.2'!$A$2:$D$52, 4, FALSE), "")="B",3,IF(IFERROR(VLOOKUP(A60, '4.2'!$A$2:$D$52, 4, FALSE), "")="B-",2.7,IF(IFERROR(VLOOKUP(A60, '4.2'!$A$2:$D$52, 4, FALSE), "")="C+",2.3,IF(IFERROR(VLOOKUP(A60, '4.2'!$A$2:$D$52, 4, FALSE), "")="C",2,IF(IFERROR(VLOOKUP(A60, '4.2'!$A$2:$D$52, 4, FALSE), "")="C-",1.7,IF(IFERROR(VLOOKUP(A60, '4.2'!$A$2:$D$52, 4, FALSE), "")="D+",1.3,IF(IFERROR(VLOOKUP(A60, '4.2'!$A$2:$D$52, 4, FALSE), "")="D",1,IF(IFERROR(VLOOKUP(A60, '4.2'!$A$2:$D$52, 4, FALSE), "")="E",0,"N/A"))))))))))))</f>
        <v>N/A</v>
      </c>
      <c r="L60" s="29" t="str">
        <f t="shared" si="6"/>
        <v>N/A</v>
      </c>
      <c r="M60" s="29">
        <f t="shared" si="7"/>
        <v>2.85</v>
      </c>
      <c r="N60" s="29" t="str">
        <f t="shared" si="8"/>
        <v>General (90 Cr)</v>
      </c>
      <c r="O60" s="30" t="str">
        <f t="shared" si="9"/>
        <v>General Pass</v>
      </c>
    </row>
    <row r="61" spans="1:15" ht="15.75" customHeight="1" x14ac:dyDescent="0.25">
      <c r="A61" s="27" t="s">
        <v>133</v>
      </c>
      <c r="B61" s="27" t="s">
        <v>134</v>
      </c>
      <c r="C61" s="27">
        <v>3.42</v>
      </c>
      <c r="D61" s="27">
        <v>3.01</v>
      </c>
      <c r="E61" s="28">
        <f>'2.1'!H61</f>
        <v>2.4700000000000002</v>
      </c>
      <c r="F61" s="27">
        <v>1.57</v>
      </c>
      <c r="G61" s="27">
        <f>'3.1'!I61</f>
        <v>3.17</v>
      </c>
      <c r="H61" s="27">
        <v>3.05</v>
      </c>
      <c r="I61" s="29">
        <f t="shared" si="5"/>
        <v>2.782</v>
      </c>
      <c r="J61" s="29" t="str">
        <f>IFERROR(VLOOKUP(A61, '4.1'!$A$2:$O$52, 15, FALSE), "N/A")</f>
        <v>N/A</v>
      </c>
      <c r="K61" s="29" t="str">
        <f>IF(IFERROR(VLOOKUP(A61, '4.2'!$A$2:$D$52, 4, FALSE), "")="A+",4,IF(IFERROR(VLOOKUP(A61, '4.2'!$A$2:$D$52, 4, FALSE), "")="A",4,IF(IFERROR(VLOOKUP(A61, '4.2'!$A$2:$D$52, 4, FALSE), "")="A-",3.7,IF(IFERROR(VLOOKUP(A61, '4.2'!$A$2:$D$52, 4, FALSE), "")="B+",3.3,IF(IFERROR(VLOOKUP(A61, '4.2'!$A$2:$D$52, 4, FALSE), "")="B",3,IF(IFERROR(VLOOKUP(A61, '4.2'!$A$2:$D$52, 4, FALSE), "")="B-",2.7,IF(IFERROR(VLOOKUP(A61, '4.2'!$A$2:$D$52, 4, FALSE), "")="C+",2.3,IF(IFERROR(VLOOKUP(A61, '4.2'!$A$2:$D$52, 4, FALSE), "")="C",2,IF(IFERROR(VLOOKUP(A61, '4.2'!$A$2:$D$52, 4, FALSE), "")="C-",1.7,IF(IFERROR(VLOOKUP(A61, '4.2'!$A$2:$D$52, 4, FALSE), "")="D+",1.3,IF(IFERROR(VLOOKUP(A61, '4.2'!$A$2:$D$52, 4, FALSE), "")="D",1,IF(IFERROR(VLOOKUP(A61, '4.2'!$A$2:$D$52, 4, FALSE), "")="E",0,"N/A"))))))))))))</f>
        <v>N/A</v>
      </c>
      <c r="L61" s="29" t="str">
        <f t="shared" si="6"/>
        <v>N/A</v>
      </c>
      <c r="M61" s="29">
        <f t="shared" si="7"/>
        <v>2.782</v>
      </c>
      <c r="N61" s="29" t="str">
        <f t="shared" si="8"/>
        <v>General (90 Cr)</v>
      </c>
      <c r="O61" s="30" t="str">
        <f t="shared" si="9"/>
        <v>General Pass</v>
      </c>
    </row>
    <row r="62" spans="1:15" ht="15.75" customHeight="1" x14ac:dyDescent="0.25">
      <c r="A62" s="27" t="s">
        <v>135</v>
      </c>
      <c r="B62" s="27" t="s">
        <v>136</v>
      </c>
      <c r="C62" s="27">
        <v>3.35</v>
      </c>
      <c r="D62" s="27">
        <v>2.86</v>
      </c>
      <c r="E62" s="28">
        <f>'2.1'!H62</f>
        <v>2.5099999999999998</v>
      </c>
      <c r="F62" s="27">
        <v>1.56</v>
      </c>
      <c r="G62" s="27">
        <f>'3.1'!I62</f>
        <v>2.89</v>
      </c>
      <c r="H62" s="27">
        <v>2.88</v>
      </c>
      <c r="I62" s="29">
        <f t="shared" si="5"/>
        <v>2.6749999999999998</v>
      </c>
      <c r="J62" s="29" t="str">
        <f>IFERROR(VLOOKUP(A62, '4.1'!$A$2:$O$52, 15, FALSE), "N/A")</f>
        <v>N/A</v>
      </c>
      <c r="K62" s="29" t="str">
        <f>IF(IFERROR(VLOOKUP(A62, '4.2'!$A$2:$D$52, 4, FALSE), "")="A+",4,IF(IFERROR(VLOOKUP(A62, '4.2'!$A$2:$D$52, 4, FALSE), "")="A",4,IF(IFERROR(VLOOKUP(A62, '4.2'!$A$2:$D$52, 4, FALSE), "")="A-",3.7,IF(IFERROR(VLOOKUP(A62, '4.2'!$A$2:$D$52, 4, FALSE), "")="B+",3.3,IF(IFERROR(VLOOKUP(A62, '4.2'!$A$2:$D$52, 4, FALSE), "")="B",3,IF(IFERROR(VLOOKUP(A62, '4.2'!$A$2:$D$52, 4, FALSE), "")="B-",2.7,IF(IFERROR(VLOOKUP(A62, '4.2'!$A$2:$D$52, 4, FALSE), "")="C+",2.3,IF(IFERROR(VLOOKUP(A62, '4.2'!$A$2:$D$52, 4, FALSE), "")="C",2,IF(IFERROR(VLOOKUP(A62, '4.2'!$A$2:$D$52, 4, FALSE), "")="C-",1.7,IF(IFERROR(VLOOKUP(A62, '4.2'!$A$2:$D$52, 4, FALSE), "")="D+",1.3,IF(IFERROR(VLOOKUP(A62, '4.2'!$A$2:$D$52, 4, FALSE), "")="D",1,IF(IFERROR(VLOOKUP(A62, '4.2'!$A$2:$D$52, 4, FALSE), "")="E",0,"N/A"))))))))))))</f>
        <v>N/A</v>
      </c>
      <c r="L62" s="29" t="str">
        <f t="shared" si="6"/>
        <v>N/A</v>
      </c>
      <c r="M62" s="29">
        <f t="shared" si="7"/>
        <v>2.6749999999999998</v>
      </c>
      <c r="N62" s="29" t="str">
        <f t="shared" si="8"/>
        <v>General (90 Cr)</v>
      </c>
      <c r="O62" s="30" t="str">
        <f t="shared" si="9"/>
        <v>General Pass</v>
      </c>
    </row>
    <row r="63" spans="1:15" ht="15.75" customHeight="1" x14ac:dyDescent="0.25">
      <c r="A63" s="27" t="s">
        <v>137</v>
      </c>
      <c r="B63" s="27" t="s">
        <v>138</v>
      </c>
      <c r="C63" s="27">
        <v>2.87</v>
      </c>
      <c r="D63" s="27">
        <v>2.27</v>
      </c>
      <c r="E63" s="28">
        <f>'2.1'!H63</f>
        <v>1.5</v>
      </c>
      <c r="F63" s="27">
        <v>1.36</v>
      </c>
      <c r="G63" s="27">
        <f>'3.1'!I63</f>
        <v>2.1800000000000002</v>
      </c>
      <c r="H63" s="27">
        <v>1.38</v>
      </c>
      <c r="I63" s="29">
        <f t="shared" si="5"/>
        <v>1.927</v>
      </c>
      <c r="J63" s="29" t="str">
        <f>IFERROR(VLOOKUP(A63, '4.1'!$A$2:$O$52, 15, FALSE), "N/A")</f>
        <v>N/A</v>
      </c>
      <c r="K63" s="29" t="str">
        <f>IF(IFERROR(VLOOKUP(A63, '4.2'!$A$2:$D$52, 4, FALSE), "")="A+",4,IF(IFERROR(VLOOKUP(A63, '4.2'!$A$2:$D$52, 4, FALSE), "")="A",4,IF(IFERROR(VLOOKUP(A63, '4.2'!$A$2:$D$52, 4, FALSE), "")="A-",3.7,IF(IFERROR(VLOOKUP(A63, '4.2'!$A$2:$D$52, 4, FALSE), "")="B+",3.3,IF(IFERROR(VLOOKUP(A63, '4.2'!$A$2:$D$52, 4, FALSE), "")="B",3,IF(IFERROR(VLOOKUP(A63, '4.2'!$A$2:$D$52, 4, FALSE), "")="B-",2.7,IF(IFERROR(VLOOKUP(A63, '4.2'!$A$2:$D$52, 4, FALSE), "")="C+",2.3,IF(IFERROR(VLOOKUP(A63, '4.2'!$A$2:$D$52, 4, FALSE), "")="C",2,IF(IFERROR(VLOOKUP(A63, '4.2'!$A$2:$D$52, 4, FALSE), "")="C-",1.7,IF(IFERROR(VLOOKUP(A63, '4.2'!$A$2:$D$52, 4, FALSE), "")="D+",1.3,IF(IFERROR(VLOOKUP(A63, '4.2'!$A$2:$D$52, 4, FALSE), "")="D",1,IF(IFERROR(VLOOKUP(A63, '4.2'!$A$2:$D$52, 4, FALSE), "")="E",0,"N/A"))))))))))))</f>
        <v>N/A</v>
      </c>
      <c r="L63" s="29" t="str">
        <f t="shared" si="6"/>
        <v>N/A</v>
      </c>
      <c r="M63" s="29">
        <f t="shared" si="7"/>
        <v>1.927</v>
      </c>
      <c r="N63" s="29" t="str">
        <f t="shared" si="8"/>
        <v>General (90 Cr)</v>
      </c>
      <c r="O63" s="30" t="str">
        <f t="shared" si="9"/>
        <v>Below Pass</v>
      </c>
    </row>
    <row r="64" spans="1:15" ht="15.75" customHeight="1" x14ac:dyDescent="0.25">
      <c r="A64" s="27" t="s">
        <v>139</v>
      </c>
      <c r="B64" s="27" t="s">
        <v>140</v>
      </c>
      <c r="C64" s="27">
        <v>2.89</v>
      </c>
      <c r="D64" s="27">
        <v>3.21</v>
      </c>
      <c r="E64" s="28">
        <f>'2.1'!H64</f>
        <v>3.01</v>
      </c>
      <c r="F64" s="27">
        <v>3.15</v>
      </c>
      <c r="G64" s="27">
        <f>'3.1'!I64</f>
        <v>3.69</v>
      </c>
      <c r="H64" s="27">
        <v>3.49</v>
      </c>
      <c r="I64" s="29">
        <f t="shared" si="5"/>
        <v>3.24</v>
      </c>
      <c r="J64" s="29">
        <f>IFERROR(VLOOKUP(A64, '4.1'!$A$2:$O$52, 15, FALSE), "N/A")</f>
        <v>3.26</v>
      </c>
      <c r="K64" s="29">
        <f>IF(IFERROR(VLOOKUP(A64, '4.2'!$A$2:$D$52, 4, FALSE), "")="A+",4,IF(IFERROR(VLOOKUP(A64, '4.2'!$A$2:$D$52, 4, FALSE), "")="A",4,IF(IFERROR(VLOOKUP(A64, '4.2'!$A$2:$D$52, 4, FALSE), "")="A-",3.7,IF(IFERROR(VLOOKUP(A64, '4.2'!$A$2:$D$52, 4, FALSE), "")="B+",3.3,IF(IFERROR(VLOOKUP(A64, '4.2'!$A$2:$D$52, 4, FALSE), "")="B",3,IF(IFERROR(VLOOKUP(A64, '4.2'!$A$2:$D$52, 4, FALSE), "")="B-",2.7,IF(IFERROR(VLOOKUP(A64, '4.2'!$A$2:$D$52, 4, FALSE), "")="C+",2.3,IF(IFERROR(VLOOKUP(A64, '4.2'!$A$2:$D$52, 4, FALSE), "")="C",2,IF(IFERROR(VLOOKUP(A64, '4.2'!$A$2:$D$52, 4, FALSE), "")="C-",1.7,IF(IFERROR(VLOOKUP(A64, '4.2'!$A$2:$D$52, 4, FALSE), "")="D+",1.3,IF(IFERROR(VLOOKUP(A64, '4.2'!$A$2:$D$52, 4, FALSE), "")="D",1,IF(IFERROR(VLOOKUP(A64, '4.2'!$A$2:$D$52, 4, FALSE), "")="E",0,"N/A"))))))))))))</f>
        <v>3.3</v>
      </c>
      <c r="L64" s="29">
        <f t="shared" si="6"/>
        <v>3.2679999999999998</v>
      </c>
      <c r="M64" s="29">
        <f t="shared" si="7"/>
        <v>3.2469999999999999</v>
      </c>
      <c r="N64" s="29" t="str">
        <f t="shared" si="8"/>
        <v>Honours (120 Cr)</v>
      </c>
      <c r="O64" s="30" t="str">
        <f t="shared" si="9"/>
        <v>Second Class Lower</v>
      </c>
    </row>
    <row r="65" spans="1:15" ht="15.75" customHeight="1" x14ac:dyDescent="0.25">
      <c r="A65" s="27" t="s">
        <v>141</v>
      </c>
      <c r="B65" s="27" t="s">
        <v>142</v>
      </c>
      <c r="C65" s="27">
        <v>2.5499999999999998</v>
      </c>
      <c r="D65" s="27">
        <v>2.74</v>
      </c>
      <c r="E65" s="28">
        <f>'2.1'!H65</f>
        <v>2.57</v>
      </c>
      <c r="F65" s="27">
        <v>2.44</v>
      </c>
      <c r="G65" s="27">
        <f>'3.1'!I65</f>
        <v>2.98</v>
      </c>
      <c r="H65" s="27">
        <v>2.68</v>
      </c>
      <c r="I65" s="29">
        <f t="shared" si="5"/>
        <v>2.66</v>
      </c>
      <c r="J65" s="29" t="str">
        <f>IFERROR(VLOOKUP(A65, '4.1'!$A$2:$O$52, 15, FALSE), "N/A")</f>
        <v>N/A</v>
      </c>
      <c r="K65" s="29" t="str">
        <f>IF(IFERROR(VLOOKUP(A65, '4.2'!$A$2:$D$52, 4, FALSE), "")="A+",4,IF(IFERROR(VLOOKUP(A65, '4.2'!$A$2:$D$52, 4, FALSE), "")="A",4,IF(IFERROR(VLOOKUP(A65, '4.2'!$A$2:$D$52, 4, FALSE), "")="A-",3.7,IF(IFERROR(VLOOKUP(A65, '4.2'!$A$2:$D$52, 4, FALSE), "")="B+",3.3,IF(IFERROR(VLOOKUP(A65, '4.2'!$A$2:$D$52, 4, FALSE), "")="B",3,IF(IFERROR(VLOOKUP(A65, '4.2'!$A$2:$D$52, 4, FALSE), "")="B-",2.7,IF(IFERROR(VLOOKUP(A65, '4.2'!$A$2:$D$52, 4, FALSE), "")="C+",2.3,IF(IFERROR(VLOOKUP(A65, '4.2'!$A$2:$D$52, 4, FALSE), "")="C",2,IF(IFERROR(VLOOKUP(A65, '4.2'!$A$2:$D$52, 4, FALSE), "")="C-",1.7,IF(IFERROR(VLOOKUP(A65, '4.2'!$A$2:$D$52, 4, FALSE), "")="D+",1.3,IF(IFERROR(VLOOKUP(A65, '4.2'!$A$2:$D$52, 4, FALSE), "")="D",1,IF(IFERROR(VLOOKUP(A65, '4.2'!$A$2:$D$52, 4, FALSE), "")="E",0,"N/A"))))))))))))</f>
        <v>N/A</v>
      </c>
      <c r="L65" s="29" t="str">
        <f t="shared" si="6"/>
        <v>N/A</v>
      </c>
      <c r="M65" s="29">
        <f t="shared" si="7"/>
        <v>2.66</v>
      </c>
      <c r="N65" s="29" t="str">
        <f t="shared" si="8"/>
        <v>General (90 Cr)</v>
      </c>
      <c r="O65" s="30" t="str">
        <f t="shared" si="9"/>
        <v>General Pass</v>
      </c>
    </row>
    <row r="66" spans="1:15" ht="15.75" customHeight="1" x14ac:dyDescent="0.25">
      <c r="A66" s="27" t="s">
        <v>143</v>
      </c>
      <c r="B66" s="27" t="s">
        <v>144</v>
      </c>
      <c r="C66" s="27">
        <v>3.41</v>
      </c>
      <c r="D66" s="27">
        <v>3.05</v>
      </c>
      <c r="E66" s="28">
        <f>'2.1'!H66</f>
        <v>2.9</v>
      </c>
      <c r="F66" s="27">
        <v>2.29</v>
      </c>
      <c r="G66" s="27">
        <f>'3.1'!I66</f>
        <v>3.13</v>
      </c>
      <c r="H66" s="27">
        <v>3.1</v>
      </c>
      <c r="I66" s="29">
        <f t="shared" ref="I66:I97" si="10">ROUND(AVERAGE(C66:H66), 3)</f>
        <v>2.98</v>
      </c>
      <c r="J66" s="29" t="str">
        <f>IFERROR(VLOOKUP(A66, '4.1'!$A$2:$O$52, 15, FALSE), "N/A")</f>
        <v>N/A</v>
      </c>
      <c r="K66" s="29" t="str">
        <f>IF(IFERROR(VLOOKUP(A66, '4.2'!$A$2:$D$52, 4, FALSE), "")="A+",4,IF(IFERROR(VLOOKUP(A66, '4.2'!$A$2:$D$52, 4, FALSE), "")="A",4,IF(IFERROR(VLOOKUP(A66, '4.2'!$A$2:$D$52, 4, FALSE), "")="A-",3.7,IF(IFERROR(VLOOKUP(A66, '4.2'!$A$2:$D$52, 4, FALSE), "")="B+",3.3,IF(IFERROR(VLOOKUP(A66, '4.2'!$A$2:$D$52, 4, FALSE), "")="B",3,IF(IFERROR(VLOOKUP(A66, '4.2'!$A$2:$D$52, 4, FALSE), "")="B-",2.7,IF(IFERROR(VLOOKUP(A66, '4.2'!$A$2:$D$52, 4, FALSE), "")="C+",2.3,IF(IFERROR(VLOOKUP(A66, '4.2'!$A$2:$D$52, 4, FALSE), "")="C",2,IF(IFERROR(VLOOKUP(A66, '4.2'!$A$2:$D$52, 4, FALSE), "")="C-",1.7,IF(IFERROR(VLOOKUP(A66, '4.2'!$A$2:$D$52, 4, FALSE), "")="D+",1.3,IF(IFERROR(VLOOKUP(A66, '4.2'!$A$2:$D$52, 4, FALSE), "")="D",1,IF(IFERROR(VLOOKUP(A66, '4.2'!$A$2:$D$52, 4, FALSE), "")="E",0,"N/A"))))))))))))</f>
        <v>N/A</v>
      </c>
      <c r="L66" s="29" t="str">
        <f t="shared" ref="L66:L97" si="11">IF(ISNUMBER(J66), ROUND((J66*24 + K66*6)/30, 3), "N/A")</f>
        <v>N/A</v>
      </c>
      <c r="M66" s="29">
        <f t="shared" ref="M66:M97" si="12">IF(ISNUMBER(L66), ROUND(I66*0.75 + L66*0.25, 3), I66)</f>
        <v>2.98</v>
      </c>
      <c r="N66" s="29" t="str">
        <f t="shared" ref="N66:N97" si="13">IF(ISNUMBER(L66), "Honours (120 Cr)", "General (90 Cr)")</f>
        <v>General (90 Cr)</v>
      </c>
      <c r="O66" s="30" t="str">
        <f t="shared" ref="O66:O97" si="14">IF(M66&gt;=3.7, "First Class", IF(M66&gt;=3.3, "Second Class Upper", IF(M66&gt;=3, "Second Class Lower", IF(M66&gt;=2, "General Pass", "Below Pass"))))</f>
        <v>General Pass</v>
      </c>
    </row>
    <row r="67" spans="1:15" ht="15.75" customHeight="1" x14ac:dyDescent="0.25">
      <c r="A67" s="27" t="s">
        <v>145</v>
      </c>
      <c r="B67" s="27" t="s">
        <v>146</v>
      </c>
      <c r="C67" s="27">
        <v>3.13</v>
      </c>
      <c r="D67" s="27">
        <v>3.32</v>
      </c>
      <c r="E67" s="28">
        <f>'2.1'!H67</f>
        <v>3.21</v>
      </c>
      <c r="F67" s="27">
        <v>2.31</v>
      </c>
      <c r="G67" s="27">
        <f>'3.1'!I67</f>
        <v>3.23</v>
      </c>
      <c r="H67" s="27">
        <v>3.33</v>
      </c>
      <c r="I67" s="29">
        <f t="shared" si="10"/>
        <v>3.0880000000000001</v>
      </c>
      <c r="J67" s="29" t="str">
        <f>IFERROR(VLOOKUP(A67, '4.1'!$A$2:$O$52, 15, FALSE), "N/A")</f>
        <v>N/A</v>
      </c>
      <c r="K67" s="29" t="str">
        <f>IF(IFERROR(VLOOKUP(A67, '4.2'!$A$2:$D$52, 4, FALSE), "")="A+",4,IF(IFERROR(VLOOKUP(A67, '4.2'!$A$2:$D$52, 4, FALSE), "")="A",4,IF(IFERROR(VLOOKUP(A67, '4.2'!$A$2:$D$52, 4, FALSE), "")="A-",3.7,IF(IFERROR(VLOOKUP(A67, '4.2'!$A$2:$D$52, 4, FALSE), "")="B+",3.3,IF(IFERROR(VLOOKUP(A67, '4.2'!$A$2:$D$52, 4, FALSE), "")="B",3,IF(IFERROR(VLOOKUP(A67, '4.2'!$A$2:$D$52, 4, FALSE), "")="B-",2.7,IF(IFERROR(VLOOKUP(A67, '4.2'!$A$2:$D$52, 4, FALSE), "")="C+",2.3,IF(IFERROR(VLOOKUP(A67, '4.2'!$A$2:$D$52, 4, FALSE), "")="C",2,IF(IFERROR(VLOOKUP(A67, '4.2'!$A$2:$D$52, 4, FALSE), "")="C-",1.7,IF(IFERROR(VLOOKUP(A67, '4.2'!$A$2:$D$52, 4, FALSE), "")="D+",1.3,IF(IFERROR(VLOOKUP(A67, '4.2'!$A$2:$D$52, 4, FALSE), "")="D",1,IF(IFERROR(VLOOKUP(A67, '4.2'!$A$2:$D$52, 4, FALSE), "")="E",0,"N/A"))))))))))))</f>
        <v>N/A</v>
      </c>
      <c r="L67" s="29" t="str">
        <f t="shared" si="11"/>
        <v>N/A</v>
      </c>
      <c r="M67" s="29">
        <f t="shared" si="12"/>
        <v>3.0880000000000001</v>
      </c>
      <c r="N67" s="29" t="str">
        <f t="shared" si="13"/>
        <v>General (90 Cr)</v>
      </c>
      <c r="O67" s="30" t="str">
        <f t="shared" si="14"/>
        <v>Second Class Lower</v>
      </c>
    </row>
    <row r="68" spans="1:15" ht="15.75" customHeight="1" x14ac:dyDescent="0.25">
      <c r="A68" s="27" t="s">
        <v>147</v>
      </c>
      <c r="B68" s="27" t="s">
        <v>148</v>
      </c>
      <c r="C68" s="27">
        <v>3.51</v>
      </c>
      <c r="D68" s="27">
        <v>3.33</v>
      </c>
      <c r="E68" s="28">
        <f>'2.1'!H68</f>
        <v>3.6</v>
      </c>
      <c r="F68" s="27">
        <v>2.71</v>
      </c>
      <c r="G68" s="27">
        <f>'3.1'!I68</f>
        <v>3.45</v>
      </c>
      <c r="H68" s="27">
        <v>3.39</v>
      </c>
      <c r="I68" s="29">
        <f t="shared" si="10"/>
        <v>3.3319999999999999</v>
      </c>
      <c r="J68" s="29" t="str">
        <f>IFERROR(VLOOKUP(A68, '4.1'!$A$2:$O$52, 15, FALSE), "N/A")</f>
        <v>N/A</v>
      </c>
      <c r="K68" s="29" t="str">
        <f>IF(IFERROR(VLOOKUP(A68, '4.2'!$A$2:$D$52, 4, FALSE), "")="A+",4,IF(IFERROR(VLOOKUP(A68, '4.2'!$A$2:$D$52, 4, FALSE), "")="A",4,IF(IFERROR(VLOOKUP(A68, '4.2'!$A$2:$D$52, 4, FALSE), "")="A-",3.7,IF(IFERROR(VLOOKUP(A68, '4.2'!$A$2:$D$52, 4, FALSE), "")="B+",3.3,IF(IFERROR(VLOOKUP(A68, '4.2'!$A$2:$D$52, 4, FALSE), "")="B",3,IF(IFERROR(VLOOKUP(A68, '4.2'!$A$2:$D$52, 4, FALSE), "")="B-",2.7,IF(IFERROR(VLOOKUP(A68, '4.2'!$A$2:$D$52, 4, FALSE), "")="C+",2.3,IF(IFERROR(VLOOKUP(A68, '4.2'!$A$2:$D$52, 4, FALSE), "")="C",2,IF(IFERROR(VLOOKUP(A68, '4.2'!$A$2:$D$52, 4, FALSE), "")="C-",1.7,IF(IFERROR(VLOOKUP(A68, '4.2'!$A$2:$D$52, 4, FALSE), "")="D+",1.3,IF(IFERROR(VLOOKUP(A68, '4.2'!$A$2:$D$52, 4, FALSE), "")="D",1,IF(IFERROR(VLOOKUP(A68, '4.2'!$A$2:$D$52, 4, FALSE), "")="E",0,"N/A"))))))))))))</f>
        <v>N/A</v>
      </c>
      <c r="L68" s="29" t="str">
        <f t="shared" si="11"/>
        <v>N/A</v>
      </c>
      <c r="M68" s="29">
        <f t="shared" si="12"/>
        <v>3.3319999999999999</v>
      </c>
      <c r="N68" s="29" t="str">
        <f t="shared" si="13"/>
        <v>General (90 Cr)</v>
      </c>
      <c r="O68" s="30" t="str">
        <f t="shared" si="14"/>
        <v>Second Class Upper</v>
      </c>
    </row>
    <row r="69" spans="1:15" ht="15.75" customHeight="1" x14ac:dyDescent="0.25">
      <c r="A69" s="27" t="s">
        <v>149</v>
      </c>
      <c r="B69" s="27" t="s">
        <v>150</v>
      </c>
      <c r="C69" s="27">
        <v>1.96</v>
      </c>
      <c r="D69" s="27">
        <v>1.33</v>
      </c>
      <c r="E69" s="28">
        <f>'2.1'!H69</f>
        <v>2.2799999999999998</v>
      </c>
      <c r="F69" s="27">
        <v>1.96</v>
      </c>
      <c r="G69" s="27">
        <f>'3.1'!I69</f>
        <v>3.29</v>
      </c>
      <c r="H69" s="27">
        <v>3.19</v>
      </c>
      <c r="I69" s="29">
        <f t="shared" si="10"/>
        <v>2.335</v>
      </c>
      <c r="J69" s="29" t="str">
        <f>IFERROR(VLOOKUP(A69, '4.1'!$A$2:$O$52, 15, FALSE), "N/A")</f>
        <v>N/A</v>
      </c>
      <c r="K69" s="29" t="str">
        <f>IF(IFERROR(VLOOKUP(A69, '4.2'!$A$2:$D$52, 4, FALSE), "")="A+",4,IF(IFERROR(VLOOKUP(A69, '4.2'!$A$2:$D$52, 4, FALSE), "")="A",4,IF(IFERROR(VLOOKUP(A69, '4.2'!$A$2:$D$52, 4, FALSE), "")="A-",3.7,IF(IFERROR(VLOOKUP(A69, '4.2'!$A$2:$D$52, 4, FALSE), "")="B+",3.3,IF(IFERROR(VLOOKUP(A69, '4.2'!$A$2:$D$52, 4, FALSE), "")="B",3,IF(IFERROR(VLOOKUP(A69, '4.2'!$A$2:$D$52, 4, FALSE), "")="B-",2.7,IF(IFERROR(VLOOKUP(A69, '4.2'!$A$2:$D$52, 4, FALSE), "")="C+",2.3,IF(IFERROR(VLOOKUP(A69, '4.2'!$A$2:$D$52, 4, FALSE), "")="C",2,IF(IFERROR(VLOOKUP(A69, '4.2'!$A$2:$D$52, 4, FALSE), "")="C-",1.7,IF(IFERROR(VLOOKUP(A69, '4.2'!$A$2:$D$52, 4, FALSE), "")="D+",1.3,IF(IFERROR(VLOOKUP(A69, '4.2'!$A$2:$D$52, 4, FALSE), "")="D",1,IF(IFERROR(VLOOKUP(A69, '4.2'!$A$2:$D$52, 4, FALSE), "")="E",0,"N/A"))))))))))))</f>
        <v>N/A</v>
      </c>
      <c r="L69" s="29" t="str">
        <f t="shared" si="11"/>
        <v>N/A</v>
      </c>
      <c r="M69" s="29">
        <f t="shared" si="12"/>
        <v>2.335</v>
      </c>
      <c r="N69" s="29" t="str">
        <f t="shared" si="13"/>
        <v>General (90 Cr)</v>
      </c>
      <c r="O69" s="30" t="str">
        <f t="shared" si="14"/>
        <v>General Pass</v>
      </c>
    </row>
    <row r="70" spans="1:15" ht="15.75" customHeight="1" x14ac:dyDescent="0.25">
      <c r="A70" s="27" t="s">
        <v>151</v>
      </c>
      <c r="B70" s="27" t="s">
        <v>152</v>
      </c>
      <c r="C70" s="27">
        <v>2.73</v>
      </c>
      <c r="D70" s="27">
        <v>2.63</v>
      </c>
      <c r="E70" s="28">
        <f>'2.1'!H70</f>
        <v>1.97</v>
      </c>
      <c r="F70" s="27">
        <v>1.55</v>
      </c>
      <c r="G70" s="27">
        <f>'3.1'!I70</f>
        <v>2.39</v>
      </c>
      <c r="H70" s="27">
        <v>2.25</v>
      </c>
      <c r="I70" s="29">
        <f t="shared" si="10"/>
        <v>2.2530000000000001</v>
      </c>
      <c r="J70" s="29" t="str">
        <f>IFERROR(VLOOKUP(A70, '4.1'!$A$2:$O$52, 15, FALSE), "N/A")</f>
        <v>N/A</v>
      </c>
      <c r="K70" s="29" t="str">
        <f>IF(IFERROR(VLOOKUP(A70, '4.2'!$A$2:$D$52, 4, FALSE), "")="A+",4,IF(IFERROR(VLOOKUP(A70, '4.2'!$A$2:$D$52, 4, FALSE), "")="A",4,IF(IFERROR(VLOOKUP(A70, '4.2'!$A$2:$D$52, 4, FALSE), "")="A-",3.7,IF(IFERROR(VLOOKUP(A70, '4.2'!$A$2:$D$52, 4, FALSE), "")="B+",3.3,IF(IFERROR(VLOOKUP(A70, '4.2'!$A$2:$D$52, 4, FALSE), "")="B",3,IF(IFERROR(VLOOKUP(A70, '4.2'!$A$2:$D$52, 4, FALSE), "")="B-",2.7,IF(IFERROR(VLOOKUP(A70, '4.2'!$A$2:$D$52, 4, FALSE), "")="C+",2.3,IF(IFERROR(VLOOKUP(A70, '4.2'!$A$2:$D$52, 4, FALSE), "")="C",2,IF(IFERROR(VLOOKUP(A70, '4.2'!$A$2:$D$52, 4, FALSE), "")="C-",1.7,IF(IFERROR(VLOOKUP(A70, '4.2'!$A$2:$D$52, 4, FALSE), "")="D+",1.3,IF(IFERROR(VLOOKUP(A70, '4.2'!$A$2:$D$52, 4, FALSE), "")="D",1,IF(IFERROR(VLOOKUP(A70, '4.2'!$A$2:$D$52, 4, FALSE), "")="E",0,"N/A"))))))))))))</f>
        <v>N/A</v>
      </c>
      <c r="L70" s="29" t="str">
        <f t="shared" si="11"/>
        <v>N/A</v>
      </c>
      <c r="M70" s="29">
        <f t="shared" si="12"/>
        <v>2.2530000000000001</v>
      </c>
      <c r="N70" s="29" t="str">
        <f t="shared" si="13"/>
        <v>General (90 Cr)</v>
      </c>
      <c r="O70" s="30" t="str">
        <f t="shared" si="14"/>
        <v>General Pass</v>
      </c>
    </row>
    <row r="71" spans="1:15" ht="15.75" customHeight="1" x14ac:dyDescent="0.25">
      <c r="A71" s="27" t="s">
        <v>153</v>
      </c>
      <c r="B71" s="27" t="s">
        <v>154</v>
      </c>
      <c r="C71" s="27">
        <v>2.31</v>
      </c>
      <c r="D71" s="27">
        <v>2.48</v>
      </c>
      <c r="E71" s="28">
        <f>'2.1'!H71</f>
        <v>1.9</v>
      </c>
      <c r="F71" s="27">
        <v>1.97</v>
      </c>
      <c r="G71" s="27">
        <f>'3.1'!I71</f>
        <v>2.75</v>
      </c>
      <c r="H71" s="27">
        <v>2.41</v>
      </c>
      <c r="I71" s="29">
        <f t="shared" si="10"/>
        <v>2.3029999999999999</v>
      </c>
      <c r="J71" s="29" t="str">
        <f>IFERROR(VLOOKUP(A71, '4.1'!$A$2:$O$52, 15, FALSE), "N/A")</f>
        <v>N/A</v>
      </c>
      <c r="K71" s="29" t="str">
        <f>IF(IFERROR(VLOOKUP(A71, '4.2'!$A$2:$D$52, 4, FALSE), "")="A+",4,IF(IFERROR(VLOOKUP(A71, '4.2'!$A$2:$D$52, 4, FALSE), "")="A",4,IF(IFERROR(VLOOKUP(A71, '4.2'!$A$2:$D$52, 4, FALSE), "")="A-",3.7,IF(IFERROR(VLOOKUP(A71, '4.2'!$A$2:$D$52, 4, FALSE), "")="B+",3.3,IF(IFERROR(VLOOKUP(A71, '4.2'!$A$2:$D$52, 4, FALSE), "")="B",3,IF(IFERROR(VLOOKUP(A71, '4.2'!$A$2:$D$52, 4, FALSE), "")="B-",2.7,IF(IFERROR(VLOOKUP(A71, '4.2'!$A$2:$D$52, 4, FALSE), "")="C+",2.3,IF(IFERROR(VLOOKUP(A71, '4.2'!$A$2:$D$52, 4, FALSE), "")="C",2,IF(IFERROR(VLOOKUP(A71, '4.2'!$A$2:$D$52, 4, FALSE), "")="C-",1.7,IF(IFERROR(VLOOKUP(A71, '4.2'!$A$2:$D$52, 4, FALSE), "")="D+",1.3,IF(IFERROR(VLOOKUP(A71, '4.2'!$A$2:$D$52, 4, FALSE), "")="D",1,IF(IFERROR(VLOOKUP(A71, '4.2'!$A$2:$D$52, 4, FALSE), "")="E",0,"N/A"))))))))))))</f>
        <v>N/A</v>
      </c>
      <c r="L71" s="29" t="str">
        <f t="shared" si="11"/>
        <v>N/A</v>
      </c>
      <c r="M71" s="29">
        <f t="shared" si="12"/>
        <v>2.3029999999999999</v>
      </c>
      <c r="N71" s="29" t="str">
        <f t="shared" si="13"/>
        <v>General (90 Cr)</v>
      </c>
      <c r="O71" s="30" t="str">
        <f t="shared" si="14"/>
        <v>General Pass</v>
      </c>
    </row>
    <row r="72" spans="1:15" ht="15.75" customHeight="1" x14ac:dyDescent="0.25">
      <c r="A72" s="27" t="s">
        <v>155</v>
      </c>
      <c r="B72" s="27" t="s">
        <v>156</v>
      </c>
      <c r="C72" s="27">
        <v>3.57</v>
      </c>
      <c r="D72" s="27">
        <v>3.29</v>
      </c>
      <c r="E72" s="28">
        <f>'2.1'!H72</f>
        <v>3.51</v>
      </c>
      <c r="F72" s="27">
        <v>3.26</v>
      </c>
      <c r="G72" s="27">
        <f>'3.1'!I72</f>
        <v>3.86</v>
      </c>
      <c r="H72" s="27">
        <v>3.91</v>
      </c>
      <c r="I72" s="29">
        <f t="shared" si="10"/>
        <v>3.5670000000000002</v>
      </c>
      <c r="J72" s="29">
        <f>IFERROR(VLOOKUP(A72, '4.1'!$A$2:$O$52, 15, FALSE), "N/A")</f>
        <v>3.69</v>
      </c>
      <c r="K72" s="29">
        <f>IF(IFERROR(VLOOKUP(A72, '4.2'!$A$2:$D$52, 4, FALSE), "")="A+",4,IF(IFERROR(VLOOKUP(A72, '4.2'!$A$2:$D$52, 4, FALSE), "")="A",4,IF(IFERROR(VLOOKUP(A72, '4.2'!$A$2:$D$52, 4, FALSE), "")="A-",3.7,IF(IFERROR(VLOOKUP(A72, '4.2'!$A$2:$D$52, 4, FALSE), "")="B+",3.3,IF(IFERROR(VLOOKUP(A72, '4.2'!$A$2:$D$52, 4, FALSE), "")="B",3,IF(IFERROR(VLOOKUP(A72, '4.2'!$A$2:$D$52, 4, FALSE), "")="B-",2.7,IF(IFERROR(VLOOKUP(A72, '4.2'!$A$2:$D$52, 4, FALSE), "")="C+",2.3,IF(IFERROR(VLOOKUP(A72, '4.2'!$A$2:$D$52, 4, FALSE), "")="C",2,IF(IFERROR(VLOOKUP(A72, '4.2'!$A$2:$D$52, 4, FALSE), "")="C-",1.7,IF(IFERROR(VLOOKUP(A72, '4.2'!$A$2:$D$52, 4, FALSE), "")="D+",1.3,IF(IFERROR(VLOOKUP(A72, '4.2'!$A$2:$D$52, 4, FALSE), "")="D",1,IF(IFERROR(VLOOKUP(A72, '4.2'!$A$2:$D$52, 4, FALSE), "")="E",0,"N/A"))))))))))))</f>
        <v>3.7</v>
      </c>
      <c r="L72" s="29">
        <f t="shared" si="11"/>
        <v>3.6920000000000002</v>
      </c>
      <c r="M72" s="29">
        <f t="shared" si="12"/>
        <v>3.5979999999999999</v>
      </c>
      <c r="N72" s="29" t="str">
        <f t="shared" si="13"/>
        <v>Honours (120 Cr)</v>
      </c>
      <c r="O72" s="30" t="str">
        <f t="shared" si="14"/>
        <v>Second Class Upper</v>
      </c>
    </row>
    <row r="73" spans="1:15" ht="15.75" customHeight="1" x14ac:dyDescent="0.25">
      <c r="A73" s="27" t="s">
        <v>157</v>
      </c>
      <c r="B73" s="27" t="s">
        <v>158</v>
      </c>
      <c r="C73" s="27">
        <v>3.77</v>
      </c>
      <c r="D73" s="27">
        <v>2.87</v>
      </c>
      <c r="E73" s="28">
        <f>'2.1'!H73</f>
        <v>2.41</v>
      </c>
      <c r="F73" s="27">
        <v>0</v>
      </c>
      <c r="G73" s="27">
        <f>'3.1'!I73</f>
        <v>2.66</v>
      </c>
      <c r="H73" s="27">
        <v>2.41</v>
      </c>
      <c r="I73" s="29">
        <f t="shared" si="10"/>
        <v>2.3530000000000002</v>
      </c>
      <c r="J73" s="29" t="str">
        <f>IFERROR(VLOOKUP(A73, '4.1'!$A$2:$O$52, 15, FALSE), "N/A")</f>
        <v>N/A</v>
      </c>
      <c r="K73" s="29" t="str">
        <f>IF(IFERROR(VLOOKUP(A73, '4.2'!$A$2:$D$52, 4, FALSE), "")="A+",4,IF(IFERROR(VLOOKUP(A73, '4.2'!$A$2:$D$52, 4, FALSE), "")="A",4,IF(IFERROR(VLOOKUP(A73, '4.2'!$A$2:$D$52, 4, FALSE), "")="A-",3.7,IF(IFERROR(VLOOKUP(A73, '4.2'!$A$2:$D$52, 4, FALSE), "")="B+",3.3,IF(IFERROR(VLOOKUP(A73, '4.2'!$A$2:$D$52, 4, FALSE), "")="B",3,IF(IFERROR(VLOOKUP(A73, '4.2'!$A$2:$D$52, 4, FALSE), "")="B-",2.7,IF(IFERROR(VLOOKUP(A73, '4.2'!$A$2:$D$52, 4, FALSE), "")="C+",2.3,IF(IFERROR(VLOOKUP(A73, '4.2'!$A$2:$D$52, 4, FALSE), "")="C",2,IF(IFERROR(VLOOKUP(A73, '4.2'!$A$2:$D$52, 4, FALSE), "")="C-",1.7,IF(IFERROR(VLOOKUP(A73, '4.2'!$A$2:$D$52, 4, FALSE), "")="D+",1.3,IF(IFERROR(VLOOKUP(A73, '4.2'!$A$2:$D$52, 4, FALSE), "")="D",1,IF(IFERROR(VLOOKUP(A73, '4.2'!$A$2:$D$52, 4, FALSE), "")="E",0,"N/A"))))))))))))</f>
        <v>N/A</v>
      </c>
      <c r="L73" s="29" t="str">
        <f t="shared" si="11"/>
        <v>N/A</v>
      </c>
      <c r="M73" s="29">
        <f t="shared" si="12"/>
        <v>2.3530000000000002</v>
      </c>
      <c r="N73" s="29" t="str">
        <f t="shared" si="13"/>
        <v>General (90 Cr)</v>
      </c>
      <c r="O73" s="30" t="str">
        <f t="shared" si="14"/>
        <v>General Pass</v>
      </c>
    </row>
    <row r="74" spans="1:15" ht="15.75" customHeight="1" x14ac:dyDescent="0.25">
      <c r="A74" s="27" t="s">
        <v>159</v>
      </c>
      <c r="B74" s="27" t="s">
        <v>160</v>
      </c>
      <c r="C74" s="27">
        <v>3.72</v>
      </c>
      <c r="D74" s="27">
        <v>3.23</v>
      </c>
      <c r="E74" s="28">
        <f>'2.1'!H74</f>
        <v>3.06</v>
      </c>
      <c r="F74" s="27">
        <v>2.5</v>
      </c>
      <c r="G74" s="27">
        <f>'3.1'!I74</f>
        <v>2.99</v>
      </c>
      <c r="H74" s="27">
        <v>3.49</v>
      </c>
      <c r="I74" s="29">
        <f t="shared" si="10"/>
        <v>3.165</v>
      </c>
      <c r="J74" s="29">
        <f>IFERROR(VLOOKUP(A74, '4.1'!$A$2:$O$52, 15, FALSE), "N/A")</f>
        <v>3.58</v>
      </c>
      <c r="K74" s="29">
        <f>IF(IFERROR(VLOOKUP(A74, '4.2'!$A$2:$D$52, 4, FALSE), "")="A+",4,IF(IFERROR(VLOOKUP(A74, '4.2'!$A$2:$D$52, 4, FALSE), "")="A",4,IF(IFERROR(VLOOKUP(A74, '4.2'!$A$2:$D$52, 4, FALSE), "")="A-",3.7,IF(IFERROR(VLOOKUP(A74, '4.2'!$A$2:$D$52, 4, FALSE), "")="B+",3.3,IF(IFERROR(VLOOKUP(A74, '4.2'!$A$2:$D$52, 4, FALSE), "")="B",3,IF(IFERROR(VLOOKUP(A74, '4.2'!$A$2:$D$52, 4, FALSE), "")="B-",2.7,IF(IFERROR(VLOOKUP(A74, '4.2'!$A$2:$D$52, 4, FALSE), "")="C+",2.3,IF(IFERROR(VLOOKUP(A74, '4.2'!$A$2:$D$52, 4, FALSE), "")="C",2,IF(IFERROR(VLOOKUP(A74, '4.2'!$A$2:$D$52, 4, FALSE), "")="C-",1.7,IF(IFERROR(VLOOKUP(A74, '4.2'!$A$2:$D$52, 4, FALSE), "")="D+",1.3,IF(IFERROR(VLOOKUP(A74, '4.2'!$A$2:$D$52, 4, FALSE), "")="D",1,IF(IFERROR(VLOOKUP(A74, '4.2'!$A$2:$D$52, 4, FALSE), "")="E",0,"N/A"))))))))))))</f>
        <v>4</v>
      </c>
      <c r="L74" s="29">
        <f t="shared" si="11"/>
        <v>3.6640000000000001</v>
      </c>
      <c r="M74" s="29">
        <f t="shared" si="12"/>
        <v>3.29</v>
      </c>
      <c r="N74" s="29" t="str">
        <f t="shared" si="13"/>
        <v>Honours (120 Cr)</v>
      </c>
      <c r="O74" s="30" t="str">
        <f t="shared" si="14"/>
        <v>Second Class Lower</v>
      </c>
    </row>
    <row r="75" spans="1:15" ht="15.75" customHeight="1" x14ac:dyDescent="0.25">
      <c r="A75" s="27" t="s">
        <v>161</v>
      </c>
      <c r="B75" s="27" t="s">
        <v>162</v>
      </c>
      <c r="C75" s="27">
        <v>3.92</v>
      </c>
      <c r="D75" s="27">
        <v>3.37</v>
      </c>
      <c r="E75" s="28">
        <f>'2.1'!H75</f>
        <v>2.62</v>
      </c>
      <c r="F75" s="27">
        <v>2.35</v>
      </c>
      <c r="G75" s="27">
        <f>'3.1'!I75</f>
        <v>3.56</v>
      </c>
      <c r="H75" s="27">
        <v>3.23</v>
      </c>
      <c r="I75" s="29">
        <f t="shared" si="10"/>
        <v>3.1749999999999998</v>
      </c>
      <c r="J75" s="29" t="str">
        <f>IFERROR(VLOOKUP(A75, '4.1'!$A$2:$O$52, 15, FALSE), "N/A")</f>
        <v>N/A</v>
      </c>
      <c r="K75" s="29" t="str">
        <f>IF(IFERROR(VLOOKUP(A75, '4.2'!$A$2:$D$52, 4, FALSE), "")="A+",4,IF(IFERROR(VLOOKUP(A75, '4.2'!$A$2:$D$52, 4, FALSE), "")="A",4,IF(IFERROR(VLOOKUP(A75, '4.2'!$A$2:$D$52, 4, FALSE), "")="A-",3.7,IF(IFERROR(VLOOKUP(A75, '4.2'!$A$2:$D$52, 4, FALSE), "")="B+",3.3,IF(IFERROR(VLOOKUP(A75, '4.2'!$A$2:$D$52, 4, FALSE), "")="B",3,IF(IFERROR(VLOOKUP(A75, '4.2'!$A$2:$D$52, 4, FALSE), "")="B-",2.7,IF(IFERROR(VLOOKUP(A75, '4.2'!$A$2:$D$52, 4, FALSE), "")="C+",2.3,IF(IFERROR(VLOOKUP(A75, '4.2'!$A$2:$D$52, 4, FALSE), "")="C",2,IF(IFERROR(VLOOKUP(A75, '4.2'!$A$2:$D$52, 4, FALSE), "")="C-",1.7,IF(IFERROR(VLOOKUP(A75, '4.2'!$A$2:$D$52, 4, FALSE), "")="D+",1.3,IF(IFERROR(VLOOKUP(A75, '4.2'!$A$2:$D$52, 4, FALSE), "")="D",1,IF(IFERROR(VLOOKUP(A75, '4.2'!$A$2:$D$52, 4, FALSE), "")="E",0,"N/A"))))))))))))</f>
        <v>N/A</v>
      </c>
      <c r="L75" s="29" t="str">
        <f t="shared" si="11"/>
        <v>N/A</v>
      </c>
      <c r="M75" s="29">
        <f t="shared" si="12"/>
        <v>3.1749999999999998</v>
      </c>
      <c r="N75" s="29" t="str">
        <f t="shared" si="13"/>
        <v>General (90 Cr)</v>
      </c>
      <c r="O75" s="30" t="str">
        <f t="shared" si="14"/>
        <v>Second Class Lower</v>
      </c>
    </row>
    <row r="76" spans="1:15" ht="15.75" customHeight="1" x14ac:dyDescent="0.25">
      <c r="A76" s="27" t="s">
        <v>163</v>
      </c>
      <c r="B76" s="27" t="s">
        <v>164</v>
      </c>
      <c r="C76" s="27">
        <v>3.65</v>
      </c>
      <c r="D76" s="27">
        <v>3.34</v>
      </c>
      <c r="E76" s="28">
        <f>'2.1'!H76</f>
        <v>2.91</v>
      </c>
      <c r="F76" s="27">
        <v>2.21</v>
      </c>
      <c r="G76" s="27">
        <f>'3.1'!I76</f>
        <v>3.33</v>
      </c>
      <c r="H76" s="27">
        <v>3.22</v>
      </c>
      <c r="I76" s="29">
        <f t="shared" si="10"/>
        <v>3.11</v>
      </c>
      <c r="J76" s="29" t="str">
        <f>IFERROR(VLOOKUP(A76, '4.1'!$A$2:$O$52, 15, FALSE), "N/A")</f>
        <v>N/A</v>
      </c>
      <c r="K76" s="29" t="str">
        <f>IF(IFERROR(VLOOKUP(A76, '4.2'!$A$2:$D$52, 4, FALSE), "")="A+",4,IF(IFERROR(VLOOKUP(A76, '4.2'!$A$2:$D$52, 4, FALSE), "")="A",4,IF(IFERROR(VLOOKUP(A76, '4.2'!$A$2:$D$52, 4, FALSE), "")="A-",3.7,IF(IFERROR(VLOOKUP(A76, '4.2'!$A$2:$D$52, 4, FALSE), "")="B+",3.3,IF(IFERROR(VLOOKUP(A76, '4.2'!$A$2:$D$52, 4, FALSE), "")="B",3,IF(IFERROR(VLOOKUP(A76, '4.2'!$A$2:$D$52, 4, FALSE), "")="B-",2.7,IF(IFERROR(VLOOKUP(A76, '4.2'!$A$2:$D$52, 4, FALSE), "")="C+",2.3,IF(IFERROR(VLOOKUP(A76, '4.2'!$A$2:$D$52, 4, FALSE), "")="C",2,IF(IFERROR(VLOOKUP(A76, '4.2'!$A$2:$D$52, 4, FALSE), "")="C-",1.7,IF(IFERROR(VLOOKUP(A76, '4.2'!$A$2:$D$52, 4, FALSE), "")="D+",1.3,IF(IFERROR(VLOOKUP(A76, '4.2'!$A$2:$D$52, 4, FALSE), "")="D",1,IF(IFERROR(VLOOKUP(A76, '4.2'!$A$2:$D$52, 4, FALSE), "")="E",0,"N/A"))))))))))))</f>
        <v>N/A</v>
      </c>
      <c r="L76" s="29" t="str">
        <f t="shared" si="11"/>
        <v>N/A</v>
      </c>
      <c r="M76" s="29">
        <f t="shared" si="12"/>
        <v>3.11</v>
      </c>
      <c r="N76" s="29" t="str">
        <f t="shared" si="13"/>
        <v>General (90 Cr)</v>
      </c>
      <c r="O76" s="30" t="str">
        <f t="shared" si="14"/>
        <v>Second Class Lower</v>
      </c>
    </row>
    <row r="77" spans="1:15" ht="15.75" customHeight="1" x14ac:dyDescent="0.25">
      <c r="A77" s="27" t="s">
        <v>165</v>
      </c>
      <c r="B77" s="27" t="s">
        <v>166</v>
      </c>
      <c r="C77" s="27">
        <v>2.97</v>
      </c>
      <c r="D77" s="27">
        <v>2.4500000000000002</v>
      </c>
      <c r="E77" s="28">
        <f>'2.1'!H77</f>
        <v>2.19</v>
      </c>
      <c r="F77" s="27">
        <v>1.8</v>
      </c>
      <c r="G77" s="27">
        <f>'3.1'!I77</f>
        <v>2.48</v>
      </c>
      <c r="H77" s="27">
        <v>2.31</v>
      </c>
      <c r="I77" s="29">
        <f t="shared" si="10"/>
        <v>2.367</v>
      </c>
      <c r="J77" s="29" t="str">
        <f>IFERROR(VLOOKUP(A77, '4.1'!$A$2:$O$52, 15, FALSE), "N/A")</f>
        <v>N/A</v>
      </c>
      <c r="K77" s="29" t="str">
        <f>IF(IFERROR(VLOOKUP(A77, '4.2'!$A$2:$D$52, 4, FALSE), "")="A+",4,IF(IFERROR(VLOOKUP(A77, '4.2'!$A$2:$D$52, 4, FALSE), "")="A",4,IF(IFERROR(VLOOKUP(A77, '4.2'!$A$2:$D$52, 4, FALSE), "")="A-",3.7,IF(IFERROR(VLOOKUP(A77, '4.2'!$A$2:$D$52, 4, FALSE), "")="B+",3.3,IF(IFERROR(VLOOKUP(A77, '4.2'!$A$2:$D$52, 4, FALSE), "")="B",3,IF(IFERROR(VLOOKUP(A77, '4.2'!$A$2:$D$52, 4, FALSE), "")="B-",2.7,IF(IFERROR(VLOOKUP(A77, '4.2'!$A$2:$D$52, 4, FALSE), "")="C+",2.3,IF(IFERROR(VLOOKUP(A77, '4.2'!$A$2:$D$52, 4, FALSE), "")="C",2,IF(IFERROR(VLOOKUP(A77, '4.2'!$A$2:$D$52, 4, FALSE), "")="C-",1.7,IF(IFERROR(VLOOKUP(A77, '4.2'!$A$2:$D$52, 4, FALSE), "")="D+",1.3,IF(IFERROR(VLOOKUP(A77, '4.2'!$A$2:$D$52, 4, FALSE), "")="D",1,IF(IFERROR(VLOOKUP(A77, '4.2'!$A$2:$D$52, 4, FALSE), "")="E",0,"N/A"))))))))))))</f>
        <v>N/A</v>
      </c>
      <c r="L77" s="29" t="str">
        <f t="shared" si="11"/>
        <v>N/A</v>
      </c>
      <c r="M77" s="29">
        <f t="shared" si="12"/>
        <v>2.367</v>
      </c>
      <c r="N77" s="29" t="str">
        <f t="shared" si="13"/>
        <v>General (90 Cr)</v>
      </c>
      <c r="O77" s="30" t="str">
        <f t="shared" si="14"/>
        <v>General Pass</v>
      </c>
    </row>
    <row r="78" spans="1:15" ht="15.75" customHeight="1" x14ac:dyDescent="0.25">
      <c r="A78" s="27" t="s">
        <v>167</v>
      </c>
      <c r="B78" s="27" t="s">
        <v>168</v>
      </c>
      <c r="C78" s="27">
        <v>4</v>
      </c>
      <c r="D78" s="27">
        <v>3.69</v>
      </c>
      <c r="E78" s="28">
        <f>'2.1'!H78</f>
        <v>3.1</v>
      </c>
      <c r="F78" s="27">
        <v>2.73</v>
      </c>
      <c r="G78" s="27">
        <f>'3.1'!I78</f>
        <v>3.61</v>
      </c>
      <c r="H78" s="27">
        <v>3.59</v>
      </c>
      <c r="I78" s="29">
        <f t="shared" si="10"/>
        <v>3.4529999999999998</v>
      </c>
      <c r="J78" s="29" t="str">
        <f>IFERROR(VLOOKUP(A78, '4.1'!$A$2:$O$52, 15, FALSE), "N/A")</f>
        <v>N/A</v>
      </c>
      <c r="K78" s="29" t="str">
        <f>IF(IFERROR(VLOOKUP(A78, '4.2'!$A$2:$D$52, 4, FALSE), "")="A+",4,IF(IFERROR(VLOOKUP(A78, '4.2'!$A$2:$D$52, 4, FALSE), "")="A",4,IF(IFERROR(VLOOKUP(A78, '4.2'!$A$2:$D$52, 4, FALSE), "")="A-",3.7,IF(IFERROR(VLOOKUP(A78, '4.2'!$A$2:$D$52, 4, FALSE), "")="B+",3.3,IF(IFERROR(VLOOKUP(A78, '4.2'!$A$2:$D$52, 4, FALSE), "")="B",3,IF(IFERROR(VLOOKUP(A78, '4.2'!$A$2:$D$52, 4, FALSE), "")="B-",2.7,IF(IFERROR(VLOOKUP(A78, '4.2'!$A$2:$D$52, 4, FALSE), "")="C+",2.3,IF(IFERROR(VLOOKUP(A78, '4.2'!$A$2:$D$52, 4, FALSE), "")="C",2,IF(IFERROR(VLOOKUP(A78, '4.2'!$A$2:$D$52, 4, FALSE), "")="C-",1.7,IF(IFERROR(VLOOKUP(A78, '4.2'!$A$2:$D$52, 4, FALSE), "")="D+",1.3,IF(IFERROR(VLOOKUP(A78, '4.2'!$A$2:$D$52, 4, FALSE), "")="D",1,IF(IFERROR(VLOOKUP(A78, '4.2'!$A$2:$D$52, 4, FALSE), "")="E",0,"N/A"))))))))))))</f>
        <v>N/A</v>
      </c>
      <c r="L78" s="29" t="str">
        <f t="shared" si="11"/>
        <v>N/A</v>
      </c>
      <c r="M78" s="29">
        <f t="shared" si="12"/>
        <v>3.4529999999999998</v>
      </c>
      <c r="N78" s="29" t="str">
        <f t="shared" si="13"/>
        <v>General (90 Cr)</v>
      </c>
      <c r="O78" s="30" t="str">
        <f t="shared" si="14"/>
        <v>Second Class Upper</v>
      </c>
    </row>
    <row r="79" spans="1:15" ht="15.75" customHeight="1" x14ac:dyDescent="0.25">
      <c r="A79" s="27" t="s">
        <v>169</v>
      </c>
      <c r="B79" s="27" t="s">
        <v>170</v>
      </c>
      <c r="C79" s="27">
        <v>3.92</v>
      </c>
      <c r="D79" s="27">
        <v>3.56</v>
      </c>
      <c r="E79" s="28">
        <f>'2.1'!H79</f>
        <v>3.23</v>
      </c>
      <c r="F79" s="27">
        <v>2.9</v>
      </c>
      <c r="G79" s="27">
        <f>'3.1'!I79</f>
        <v>3.67</v>
      </c>
      <c r="H79" s="27">
        <v>3.43</v>
      </c>
      <c r="I79" s="29">
        <f t="shared" si="10"/>
        <v>3.452</v>
      </c>
      <c r="J79" s="29">
        <f>IFERROR(VLOOKUP(A79, '4.1'!$A$2:$O$52, 15, FALSE), "N/A")</f>
        <v>3.54</v>
      </c>
      <c r="K79" s="29">
        <f>IF(IFERROR(VLOOKUP(A79, '4.2'!$A$2:$D$52, 4, FALSE), "")="A+",4,IF(IFERROR(VLOOKUP(A79, '4.2'!$A$2:$D$52, 4, FALSE), "")="A",4,IF(IFERROR(VLOOKUP(A79, '4.2'!$A$2:$D$52, 4, FALSE), "")="A-",3.7,IF(IFERROR(VLOOKUP(A79, '4.2'!$A$2:$D$52, 4, FALSE), "")="B+",3.3,IF(IFERROR(VLOOKUP(A79, '4.2'!$A$2:$D$52, 4, FALSE), "")="B",3,IF(IFERROR(VLOOKUP(A79, '4.2'!$A$2:$D$52, 4, FALSE), "")="B-",2.7,IF(IFERROR(VLOOKUP(A79, '4.2'!$A$2:$D$52, 4, FALSE), "")="C+",2.3,IF(IFERROR(VLOOKUP(A79, '4.2'!$A$2:$D$52, 4, FALSE), "")="C",2,IF(IFERROR(VLOOKUP(A79, '4.2'!$A$2:$D$52, 4, FALSE), "")="C-",1.7,IF(IFERROR(VLOOKUP(A79, '4.2'!$A$2:$D$52, 4, FALSE), "")="D+",1.3,IF(IFERROR(VLOOKUP(A79, '4.2'!$A$2:$D$52, 4, FALSE), "")="D",1,IF(IFERROR(VLOOKUP(A79, '4.2'!$A$2:$D$52, 4, FALSE), "")="E",0,"N/A"))))))))))))</f>
        <v>3.3</v>
      </c>
      <c r="L79" s="29">
        <f t="shared" si="11"/>
        <v>3.492</v>
      </c>
      <c r="M79" s="29">
        <f t="shared" si="12"/>
        <v>3.4620000000000002</v>
      </c>
      <c r="N79" s="29" t="str">
        <f t="shared" si="13"/>
        <v>Honours (120 Cr)</v>
      </c>
      <c r="O79" s="30" t="str">
        <f t="shared" si="14"/>
        <v>Second Class Upper</v>
      </c>
    </row>
    <row r="80" spans="1:15" ht="15.75" customHeight="1" x14ac:dyDescent="0.25">
      <c r="A80" s="27" t="s">
        <v>171</v>
      </c>
      <c r="B80" s="27" t="s">
        <v>172</v>
      </c>
      <c r="C80" s="27">
        <v>3.83</v>
      </c>
      <c r="D80" s="27">
        <v>3.79</v>
      </c>
      <c r="E80" s="28">
        <f>'2.1'!H80</f>
        <v>3.69</v>
      </c>
      <c r="F80" s="27">
        <v>3.43</v>
      </c>
      <c r="G80" s="27">
        <f>'3.1'!I80</f>
        <v>3.76</v>
      </c>
      <c r="H80" s="27">
        <v>3.82</v>
      </c>
      <c r="I80" s="29">
        <f t="shared" si="10"/>
        <v>3.72</v>
      </c>
      <c r="J80" s="29">
        <f>IFERROR(VLOOKUP(A80, '4.1'!$A$2:$O$52, 15, FALSE), "N/A")</f>
        <v>3.79</v>
      </c>
      <c r="K80" s="29">
        <f>IF(IFERROR(VLOOKUP(A80, '4.2'!$A$2:$D$52, 4, FALSE), "")="A+",4,IF(IFERROR(VLOOKUP(A80, '4.2'!$A$2:$D$52, 4, FALSE), "")="A",4,IF(IFERROR(VLOOKUP(A80, '4.2'!$A$2:$D$52, 4, FALSE), "")="A-",3.7,IF(IFERROR(VLOOKUP(A80, '4.2'!$A$2:$D$52, 4, FALSE), "")="B+",3.3,IF(IFERROR(VLOOKUP(A80, '4.2'!$A$2:$D$52, 4, FALSE), "")="B",3,IF(IFERROR(VLOOKUP(A80, '4.2'!$A$2:$D$52, 4, FALSE), "")="B-",2.7,IF(IFERROR(VLOOKUP(A80, '4.2'!$A$2:$D$52, 4, FALSE), "")="C+",2.3,IF(IFERROR(VLOOKUP(A80, '4.2'!$A$2:$D$52, 4, FALSE), "")="C",2,IF(IFERROR(VLOOKUP(A80, '4.2'!$A$2:$D$52, 4, FALSE), "")="C-",1.7,IF(IFERROR(VLOOKUP(A80, '4.2'!$A$2:$D$52, 4, FALSE), "")="D+",1.3,IF(IFERROR(VLOOKUP(A80, '4.2'!$A$2:$D$52, 4, FALSE), "")="D",1,IF(IFERROR(VLOOKUP(A80, '4.2'!$A$2:$D$52, 4, FALSE), "")="E",0,"N/A"))))))))))))</f>
        <v>3.7</v>
      </c>
      <c r="L80" s="29">
        <f t="shared" si="11"/>
        <v>3.7719999999999998</v>
      </c>
      <c r="M80" s="29">
        <f t="shared" si="12"/>
        <v>3.7330000000000001</v>
      </c>
      <c r="N80" s="29" t="str">
        <f t="shared" si="13"/>
        <v>Honours (120 Cr)</v>
      </c>
      <c r="O80" s="30" t="str">
        <f t="shared" si="14"/>
        <v>First Class</v>
      </c>
    </row>
    <row r="81" spans="1:15" ht="15.75" customHeight="1" x14ac:dyDescent="0.25">
      <c r="A81" s="27" t="s">
        <v>173</v>
      </c>
      <c r="B81" s="27" t="s">
        <v>174</v>
      </c>
      <c r="C81" s="27">
        <v>3.6</v>
      </c>
      <c r="D81" s="27">
        <v>3.52</v>
      </c>
      <c r="E81" s="28">
        <f>'2.1'!H81</f>
        <v>3.65</v>
      </c>
      <c r="F81" s="27">
        <v>2.74</v>
      </c>
      <c r="G81" s="27">
        <f>'3.1'!I81</f>
        <v>3.45</v>
      </c>
      <c r="H81" s="27">
        <v>3.43</v>
      </c>
      <c r="I81" s="29">
        <f t="shared" si="10"/>
        <v>3.3980000000000001</v>
      </c>
      <c r="J81" s="29">
        <f>IFERROR(VLOOKUP(A81, '4.1'!$A$2:$O$52, 15, FALSE), "N/A")</f>
        <v>3.29</v>
      </c>
      <c r="K81" s="29">
        <f>IF(IFERROR(VLOOKUP(A81, '4.2'!$A$2:$D$52, 4, FALSE), "")="A+",4,IF(IFERROR(VLOOKUP(A81, '4.2'!$A$2:$D$52, 4, FALSE), "")="A",4,IF(IFERROR(VLOOKUP(A81, '4.2'!$A$2:$D$52, 4, FALSE), "")="A-",3.7,IF(IFERROR(VLOOKUP(A81, '4.2'!$A$2:$D$52, 4, FALSE), "")="B+",3.3,IF(IFERROR(VLOOKUP(A81, '4.2'!$A$2:$D$52, 4, FALSE), "")="B",3,IF(IFERROR(VLOOKUP(A81, '4.2'!$A$2:$D$52, 4, FALSE), "")="B-",2.7,IF(IFERROR(VLOOKUP(A81, '4.2'!$A$2:$D$52, 4, FALSE), "")="C+",2.3,IF(IFERROR(VLOOKUP(A81, '4.2'!$A$2:$D$52, 4, FALSE), "")="C",2,IF(IFERROR(VLOOKUP(A81, '4.2'!$A$2:$D$52, 4, FALSE), "")="C-",1.7,IF(IFERROR(VLOOKUP(A81, '4.2'!$A$2:$D$52, 4, FALSE), "")="D+",1.3,IF(IFERROR(VLOOKUP(A81, '4.2'!$A$2:$D$52, 4, FALSE), "")="D",1,IF(IFERROR(VLOOKUP(A81, '4.2'!$A$2:$D$52, 4, FALSE), "")="E",0,"N/A"))))))))))))</f>
        <v>3.7</v>
      </c>
      <c r="L81" s="29">
        <f t="shared" si="11"/>
        <v>3.3719999999999999</v>
      </c>
      <c r="M81" s="29">
        <f t="shared" si="12"/>
        <v>3.3919999999999999</v>
      </c>
      <c r="N81" s="29" t="str">
        <f t="shared" si="13"/>
        <v>Honours (120 Cr)</v>
      </c>
      <c r="O81" s="30" t="str">
        <f t="shared" si="14"/>
        <v>Second Class Upper</v>
      </c>
    </row>
    <row r="82" spans="1:15" ht="15.75" customHeight="1" x14ac:dyDescent="0.25">
      <c r="A82" s="27" t="s">
        <v>175</v>
      </c>
      <c r="B82" s="27" t="s">
        <v>176</v>
      </c>
      <c r="C82" s="27">
        <v>3.27</v>
      </c>
      <c r="D82" s="27">
        <v>2.66</v>
      </c>
      <c r="E82" s="28">
        <f>'2.1'!H82</f>
        <v>2.63</v>
      </c>
      <c r="F82" s="27">
        <v>0</v>
      </c>
      <c r="G82" s="27">
        <f>'3.1'!I82</f>
        <v>0</v>
      </c>
      <c r="H82" s="27">
        <v>0</v>
      </c>
      <c r="I82" s="29">
        <f t="shared" si="10"/>
        <v>1.427</v>
      </c>
      <c r="J82" s="29" t="str">
        <f>IFERROR(VLOOKUP(A82, '4.1'!$A$2:$O$52, 15, FALSE), "N/A")</f>
        <v>N/A</v>
      </c>
      <c r="K82" s="29" t="str">
        <f>IF(IFERROR(VLOOKUP(A82, '4.2'!$A$2:$D$52, 4, FALSE), "")="A+",4,IF(IFERROR(VLOOKUP(A82, '4.2'!$A$2:$D$52, 4, FALSE), "")="A",4,IF(IFERROR(VLOOKUP(A82, '4.2'!$A$2:$D$52, 4, FALSE), "")="A-",3.7,IF(IFERROR(VLOOKUP(A82, '4.2'!$A$2:$D$52, 4, FALSE), "")="B+",3.3,IF(IFERROR(VLOOKUP(A82, '4.2'!$A$2:$D$52, 4, FALSE), "")="B",3,IF(IFERROR(VLOOKUP(A82, '4.2'!$A$2:$D$52, 4, FALSE), "")="B-",2.7,IF(IFERROR(VLOOKUP(A82, '4.2'!$A$2:$D$52, 4, FALSE), "")="C+",2.3,IF(IFERROR(VLOOKUP(A82, '4.2'!$A$2:$D$52, 4, FALSE), "")="C",2,IF(IFERROR(VLOOKUP(A82, '4.2'!$A$2:$D$52, 4, FALSE), "")="C-",1.7,IF(IFERROR(VLOOKUP(A82, '4.2'!$A$2:$D$52, 4, FALSE), "")="D+",1.3,IF(IFERROR(VLOOKUP(A82, '4.2'!$A$2:$D$52, 4, FALSE), "")="D",1,IF(IFERROR(VLOOKUP(A82, '4.2'!$A$2:$D$52, 4, FALSE), "")="E",0,"N/A"))))))))))))</f>
        <v>N/A</v>
      </c>
      <c r="L82" s="29" t="str">
        <f t="shared" si="11"/>
        <v>N/A</v>
      </c>
      <c r="M82" s="29">
        <f t="shared" si="12"/>
        <v>1.427</v>
      </c>
      <c r="N82" s="29" t="str">
        <f t="shared" si="13"/>
        <v>General (90 Cr)</v>
      </c>
      <c r="O82" s="30" t="str">
        <f t="shared" si="14"/>
        <v>Below Pass</v>
      </c>
    </row>
    <row r="83" spans="1:15" ht="15.75" customHeight="1" x14ac:dyDescent="0.25">
      <c r="A83" s="27" t="s">
        <v>177</v>
      </c>
      <c r="B83" s="27" t="s">
        <v>178</v>
      </c>
      <c r="C83" s="27">
        <v>3.59</v>
      </c>
      <c r="D83" s="27">
        <v>3.22</v>
      </c>
      <c r="E83" s="28">
        <f>'2.1'!H83</f>
        <v>3.27</v>
      </c>
      <c r="F83" s="27">
        <v>2.99</v>
      </c>
      <c r="G83" s="27">
        <f>'3.1'!I83</f>
        <v>3.55</v>
      </c>
      <c r="H83" s="27">
        <v>3.51</v>
      </c>
      <c r="I83" s="29">
        <f t="shared" si="10"/>
        <v>3.355</v>
      </c>
      <c r="J83" s="29">
        <f>IFERROR(VLOOKUP(A83, '4.1'!$A$2:$O$52, 15, FALSE), "N/A")</f>
        <v>3.69</v>
      </c>
      <c r="K83" s="29">
        <f>IF(IFERROR(VLOOKUP(A83, '4.2'!$A$2:$D$52, 4, FALSE), "")="A+",4,IF(IFERROR(VLOOKUP(A83, '4.2'!$A$2:$D$52, 4, FALSE), "")="A",4,IF(IFERROR(VLOOKUP(A83, '4.2'!$A$2:$D$52, 4, FALSE), "")="A-",3.7,IF(IFERROR(VLOOKUP(A83, '4.2'!$A$2:$D$52, 4, FALSE), "")="B+",3.3,IF(IFERROR(VLOOKUP(A83, '4.2'!$A$2:$D$52, 4, FALSE), "")="B",3,IF(IFERROR(VLOOKUP(A83, '4.2'!$A$2:$D$52, 4, FALSE), "")="B-",2.7,IF(IFERROR(VLOOKUP(A83, '4.2'!$A$2:$D$52, 4, FALSE), "")="C+",2.3,IF(IFERROR(VLOOKUP(A83, '4.2'!$A$2:$D$52, 4, FALSE), "")="C",2,IF(IFERROR(VLOOKUP(A83, '4.2'!$A$2:$D$52, 4, FALSE), "")="C-",1.7,IF(IFERROR(VLOOKUP(A83, '4.2'!$A$2:$D$52, 4, FALSE), "")="D+",1.3,IF(IFERROR(VLOOKUP(A83, '4.2'!$A$2:$D$52, 4, FALSE), "")="D",1,IF(IFERROR(VLOOKUP(A83, '4.2'!$A$2:$D$52, 4, FALSE), "")="E",0,"N/A"))))))))))))</f>
        <v>4</v>
      </c>
      <c r="L83" s="29">
        <f t="shared" si="11"/>
        <v>3.7519999999999998</v>
      </c>
      <c r="M83" s="29">
        <f t="shared" si="12"/>
        <v>3.4540000000000002</v>
      </c>
      <c r="N83" s="29" t="str">
        <f t="shared" si="13"/>
        <v>Honours (120 Cr)</v>
      </c>
      <c r="O83" s="30" t="str">
        <f t="shared" si="14"/>
        <v>Second Class Upper</v>
      </c>
    </row>
    <row r="84" spans="1:15" ht="15.75" customHeight="1" x14ac:dyDescent="0.25">
      <c r="A84" s="27" t="s">
        <v>179</v>
      </c>
      <c r="B84" s="27" t="s">
        <v>180</v>
      </c>
      <c r="C84" s="27">
        <v>3.29</v>
      </c>
      <c r="D84" s="27">
        <v>3.29</v>
      </c>
      <c r="E84" s="28">
        <f>'2.1'!H84</f>
        <v>3.57</v>
      </c>
      <c r="F84" s="27">
        <v>2.86</v>
      </c>
      <c r="G84" s="27">
        <f>'3.1'!I84</f>
        <v>3.47</v>
      </c>
      <c r="H84" s="27">
        <v>3.35</v>
      </c>
      <c r="I84" s="29">
        <f t="shared" si="10"/>
        <v>3.3050000000000002</v>
      </c>
      <c r="J84" s="29">
        <f>IFERROR(VLOOKUP(A84, '4.1'!$A$2:$O$52, 15, FALSE), "N/A")</f>
        <v>3.35</v>
      </c>
      <c r="K84" s="29">
        <f>IF(IFERROR(VLOOKUP(A84, '4.2'!$A$2:$D$52, 4, FALSE), "")="A+",4,IF(IFERROR(VLOOKUP(A84, '4.2'!$A$2:$D$52, 4, FALSE), "")="A",4,IF(IFERROR(VLOOKUP(A84, '4.2'!$A$2:$D$52, 4, FALSE), "")="A-",3.7,IF(IFERROR(VLOOKUP(A84, '4.2'!$A$2:$D$52, 4, FALSE), "")="B+",3.3,IF(IFERROR(VLOOKUP(A84, '4.2'!$A$2:$D$52, 4, FALSE), "")="B",3,IF(IFERROR(VLOOKUP(A84, '4.2'!$A$2:$D$52, 4, FALSE), "")="B-",2.7,IF(IFERROR(VLOOKUP(A84, '4.2'!$A$2:$D$52, 4, FALSE), "")="C+",2.3,IF(IFERROR(VLOOKUP(A84, '4.2'!$A$2:$D$52, 4, FALSE), "")="C",2,IF(IFERROR(VLOOKUP(A84, '4.2'!$A$2:$D$52, 4, FALSE), "")="C-",1.7,IF(IFERROR(VLOOKUP(A84, '4.2'!$A$2:$D$52, 4, FALSE), "")="D+",1.3,IF(IFERROR(VLOOKUP(A84, '4.2'!$A$2:$D$52, 4, FALSE), "")="D",1,IF(IFERROR(VLOOKUP(A84, '4.2'!$A$2:$D$52, 4, FALSE), "")="E",0,"N/A"))))))))))))</f>
        <v>4</v>
      </c>
      <c r="L84" s="29">
        <f t="shared" si="11"/>
        <v>3.48</v>
      </c>
      <c r="M84" s="29">
        <f t="shared" si="12"/>
        <v>3.3490000000000002</v>
      </c>
      <c r="N84" s="29" t="str">
        <f t="shared" si="13"/>
        <v>Honours (120 Cr)</v>
      </c>
      <c r="O84" s="30" t="str">
        <f t="shared" si="14"/>
        <v>Second Class Upper</v>
      </c>
    </row>
    <row r="85" spans="1:15" ht="15.75" customHeight="1" x14ac:dyDescent="0.25">
      <c r="A85" s="27" t="s">
        <v>181</v>
      </c>
      <c r="B85" s="27" t="s">
        <v>182</v>
      </c>
      <c r="C85" s="27">
        <v>3.83</v>
      </c>
      <c r="D85" s="27">
        <v>3.51</v>
      </c>
      <c r="E85" s="28">
        <f>'2.1'!H85</f>
        <v>3.57</v>
      </c>
      <c r="F85" s="27">
        <v>2.97</v>
      </c>
      <c r="G85" s="27">
        <f>'3.1'!I85</f>
        <v>3.61</v>
      </c>
      <c r="H85" s="27">
        <v>3.27</v>
      </c>
      <c r="I85" s="29">
        <f t="shared" si="10"/>
        <v>3.46</v>
      </c>
      <c r="J85" s="29">
        <f>IFERROR(VLOOKUP(A85, '4.1'!$A$2:$O$52, 15, FALSE), "N/A")</f>
        <v>3.18</v>
      </c>
      <c r="K85" s="29">
        <f>IF(IFERROR(VLOOKUP(A85, '4.2'!$A$2:$D$52, 4, FALSE), "")="A+",4,IF(IFERROR(VLOOKUP(A85, '4.2'!$A$2:$D$52, 4, FALSE), "")="A",4,IF(IFERROR(VLOOKUP(A85, '4.2'!$A$2:$D$52, 4, FALSE), "")="A-",3.7,IF(IFERROR(VLOOKUP(A85, '4.2'!$A$2:$D$52, 4, FALSE), "")="B+",3.3,IF(IFERROR(VLOOKUP(A85, '4.2'!$A$2:$D$52, 4, FALSE), "")="B",3,IF(IFERROR(VLOOKUP(A85, '4.2'!$A$2:$D$52, 4, FALSE), "")="B-",2.7,IF(IFERROR(VLOOKUP(A85, '4.2'!$A$2:$D$52, 4, FALSE), "")="C+",2.3,IF(IFERROR(VLOOKUP(A85, '4.2'!$A$2:$D$52, 4, FALSE), "")="C",2,IF(IFERROR(VLOOKUP(A85, '4.2'!$A$2:$D$52, 4, FALSE), "")="C-",1.7,IF(IFERROR(VLOOKUP(A85, '4.2'!$A$2:$D$52, 4, FALSE), "")="D+",1.3,IF(IFERROR(VLOOKUP(A85, '4.2'!$A$2:$D$52, 4, FALSE), "")="D",1,IF(IFERROR(VLOOKUP(A85, '4.2'!$A$2:$D$52, 4, FALSE), "")="E",0,"N/A"))))))))))))</f>
        <v>3.7</v>
      </c>
      <c r="L85" s="29">
        <f t="shared" si="11"/>
        <v>3.2839999999999998</v>
      </c>
      <c r="M85" s="29">
        <f t="shared" si="12"/>
        <v>3.4159999999999999</v>
      </c>
      <c r="N85" s="29" t="str">
        <f t="shared" si="13"/>
        <v>Honours (120 Cr)</v>
      </c>
      <c r="O85" s="30" t="str">
        <f t="shared" si="14"/>
        <v>Second Class Upper</v>
      </c>
    </row>
    <row r="86" spans="1:15" ht="15.75" customHeight="1" x14ac:dyDescent="0.25">
      <c r="A86" s="27" t="s">
        <v>183</v>
      </c>
      <c r="B86" s="27" t="s">
        <v>184</v>
      </c>
      <c r="C86" s="27">
        <v>3.96</v>
      </c>
      <c r="D86" s="27">
        <v>3.6</v>
      </c>
      <c r="E86" s="28">
        <f>'2.1'!H86</f>
        <v>3.79</v>
      </c>
      <c r="F86" s="27">
        <v>3.21</v>
      </c>
      <c r="G86" s="27">
        <f>'3.1'!I86</f>
        <v>3.87</v>
      </c>
      <c r="H86" s="27">
        <v>3.77</v>
      </c>
      <c r="I86" s="29">
        <f t="shared" si="10"/>
        <v>3.7</v>
      </c>
      <c r="J86" s="29">
        <f>IFERROR(VLOOKUP(A86, '4.1'!$A$2:$O$52, 15, FALSE), "N/A")</f>
        <v>3.8</v>
      </c>
      <c r="K86" s="29">
        <f>IF(IFERROR(VLOOKUP(A86, '4.2'!$A$2:$D$52, 4, FALSE), "")="A+",4,IF(IFERROR(VLOOKUP(A86, '4.2'!$A$2:$D$52, 4, FALSE), "")="A",4,IF(IFERROR(VLOOKUP(A86, '4.2'!$A$2:$D$52, 4, FALSE), "")="A-",3.7,IF(IFERROR(VLOOKUP(A86, '4.2'!$A$2:$D$52, 4, FALSE), "")="B+",3.3,IF(IFERROR(VLOOKUP(A86, '4.2'!$A$2:$D$52, 4, FALSE), "")="B",3,IF(IFERROR(VLOOKUP(A86, '4.2'!$A$2:$D$52, 4, FALSE), "")="B-",2.7,IF(IFERROR(VLOOKUP(A86, '4.2'!$A$2:$D$52, 4, FALSE), "")="C+",2.3,IF(IFERROR(VLOOKUP(A86, '4.2'!$A$2:$D$52, 4, FALSE), "")="C",2,IF(IFERROR(VLOOKUP(A86, '4.2'!$A$2:$D$52, 4, FALSE), "")="C-",1.7,IF(IFERROR(VLOOKUP(A86, '4.2'!$A$2:$D$52, 4, FALSE), "")="D+",1.3,IF(IFERROR(VLOOKUP(A86, '4.2'!$A$2:$D$52, 4, FALSE), "")="D",1,IF(IFERROR(VLOOKUP(A86, '4.2'!$A$2:$D$52, 4, FALSE), "")="E",0,"N/A"))))))))))))</f>
        <v>3.7</v>
      </c>
      <c r="L86" s="29">
        <f t="shared" si="11"/>
        <v>3.78</v>
      </c>
      <c r="M86" s="29">
        <f t="shared" si="12"/>
        <v>3.72</v>
      </c>
      <c r="N86" s="29" t="str">
        <f t="shared" si="13"/>
        <v>Honours (120 Cr)</v>
      </c>
      <c r="O86" s="30" t="str">
        <f t="shared" si="14"/>
        <v>First Class</v>
      </c>
    </row>
    <row r="87" spans="1:15" ht="15.75" customHeight="1" x14ac:dyDescent="0.25">
      <c r="A87" s="27" t="s">
        <v>185</v>
      </c>
      <c r="B87" s="27" t="s">
        <v>186</v>
      </c>
      <c r="C87" s="27">
        <v>3.4</v>
      </c>
      <c r="D87" s="27">
        <v>2.79</v>
      </c>
      <c r="E87" s="28">
        <f>'2.1'!H87</f>
        <v>2.04</v>
      </c>
      <c r="F87" s="27">
        <v>2.09</v>
      </c>
      <c r="G87" s="27">
        <f>'3.1'!I87</f>
        <v>2.9</v>
      </c>
      <c r="H87" s="27">
        <v>2.57</v>
      </c>
      <c r="I87" s="29">
        <f t="shared" si="10"/>
        <v>2.6320000000000001</v>
      </c>
      <c r="J87" s="29" t="str">
        <f>IFERROR(VLOOKUP(A87, '4.1'!$A$2:$O$52, 15, FALSE), "N/A")</f>
        <v>N/A</v>
      </c>
      <c r="K87" s="29" t="str">
        <f>IF(IFERROR(VLOOKUP(A87, '4.2'!$A$2:$D$52, 4, FALSE), "")="A+",4,IF(IFERROR(VLOOKUP(A87, '4.2'!$A$2:$D$52, 4, FALSE), "")="A",4,IF(IFERROR(VLOOKUP(A87, '4.2'!$A$2:$D$52, 4, FALSE), "")="A-",3.7,IF(IFERROR(VLOOKUP(A87, '4.2'!$A$2:$D$52, 4, FALSE), "")="B+",3.3,IF(IFERROR(VLOOKUP(A87, '4.2'!$A$2:$D$52, 4, FALSE), "")="B",3,IF(IFERROR(VLOOKUP(A87, '4.2'!$A$2:$D$52, 4, FALSE), "")="B-",2.7,IF(IFERROR(VLOOKUP(A87, '4.2'!$A$2:$D$52, 4, FALSE), "")="C+",2.3,IF(IFERROR(VLOOKUP(A87, '4.2'!$A$2:$D$52, 4, FALSE), "")="C",2,IF(IFERROR(VLOOKUP(A87, '4.2'!$A$2:$D$52, 4, FALSE), "")="C-",1.7,IF(IFERROR(VLOOKUP(A87, '4.2'!$A$2:$D$52, 4, FALSE), "")="D+",1.3,IF(IFERROR(VLOOKUP(A87, '4.2'!$A$2:$D$52, 4, FALSE), "")="D",1,IF(IFERROR(VLOOKUP(A87, '4.2'!$A$2:$D$52, 4, FALSE), "")="E",0,"N/A"))))))))))))</f>
        <v>N/A</v>
      </c>
      <c r="L87" s="29" t="str">
        <f t="shared" si="11"/>
        <v>N/A</v>
      </c>
      <c r="M87" s="29">
        <f t="shared" si="12"/>
        <v>2.6320000000000001</v>
      </c>
      <c r="N87" s="29" t="str">
        <f t="shared" si="13"/>
        <v>General (90 Cr)</v>
      </c>
      <c r="O87" s="30" t="str">
        <f t="shared" si="14"/>
        <v>General Pass</v>
      </c>
    </row>
    <row r="88" spans="1:15" ht="15.75" customHeight="1" x14ac:dyDescent="0.25">
      <c r="A88" s="27" t="s">
        <v>187</v>
      </c>
      <c r="B88" s="27" t="s">
        <v>188</v>
      </c>
      <c r="C88" s="27">
        <v>2.27</v>
      </c>
      <c r="D88" s="27">
        <v>2.79</v>
      </c>
      <c r="E88" s="28">
        <f>'2.1'!H88</f>
        <v>2.2000000000000002</v>
      </c>
      <c r="F88" s="27">
        <v>1.73</v>
      </c>
      <c r="G88" s="27">
        <f>'3.1'!I88</f>
        <v>2.5099999999999998</v>
      </c>
      <c r="H88" s="27">
        <v>2.13</v>
      </c>
      <c r="I88" s="29">
        <f t="shared" si="10"/>
        <v>2.2719999999999998</v>
      </c>
      <c r="J88" s="29" t="str">
        <f>IFERROR(VLOOKUP(A88, '4.1'!$A$2:$O$52, 15, FALSE), "N/A")</f>
        <v>N/A</v>
      </c>
      <c r="K88" s="29" t="str">
        <f>IF(IFERROR(VLOOKUP(A88, '4.2'!$A$2:$D$52, 4, FALSE), "")="A+",4,IF(IFERROR(VLOOKUP(A88, '4.2'!$A$2:$D$52, 4, FALSE), "")="A",4,IF(IFERROR(VLOOKUP(A88, '4.2'!$A$2:$D$52, 4, FALSE), "")="A-",3.7,IF(IFERROR(VLOOKUP(A88, '4.2'!$A$2:$D$52, 4, FALSE), "")="B+",3.3,IF(IFERROR(VLOOKUP(A88, '4.2'!$A$2:$D$52, 4, FALSE), "")="B",3,IF(IFERROR(VLOOKUP(A88, '4.2'!$A$2:$D$52, 4, FALSE), "")="B-",2.7,IF(IFERROR(VLOOKUP(A88, '4.2'!$A$2:$D$52, 4, FALSE), "")="C+",2.3,IF(IFERROR(VLOOKUP(A88, '4.2'!$A$2:$D$52, 4, FALSE), "")="C",2,IF(IFERROR(VLOOKUP(A88, '4.2'!$A$2:$D$52, 4, FALSE), "")="C-",1.7,IF(IFERROR(VLOOKUP(A88, '4.2'!$A$2:$D$52, 4, FALSE), "")="D+",1.3,IF(IFERROR(VLOOKUP(A88, '4.2'!$A$2:$D$52, 4, FALSE), "")="D",1,IF(IFERROR(VLOOKUP(A88, '4.2'!$A$2:$D$52, 4, FALSE), "")="E",0,"N/A"))))))))))))</f>
        <v>N/A</v>
      </c>
      <c r="L88" s="29" t="str">
        <f t="shared" si="11"/>
        <v>N/A</v>
      </c>
      <c r="M88" s="29">
        <f t="shared" si="12"/>
        <v>2.2719999999999998</v>
      </c>
      <c r="N88" s="29" t="str">
        <f t="shared" si="13"/>
        <v>General (90 Cr)</v>
      </c>
      <c r="O88" s="30" t="str">
        <f t="shared" si="14"/>
        <v>General Pass</v>
      </c>
    </row>
    <row r="89" spans="1:15" ht="15.75" customHeight="1" x14ac:dyDescent="0.25">
      <c r="A89" s="27" t="s">
        <v>189</v>
      </c>
      <c r="B89" s="27" t="s">
        <v>190</v>
      </c>
      <c r="C89" s="27">
        <v>3.4</v>
      </c>
      <c r="D89" s="27">
        <v>3.05</v>
      </c>
      <c r="E89" s="28">
        <f>'2.1'!H89</f>
        <v>2.1</v>
      </c>
      <c r="F89" s="27">
        <v>1.9</v>
      </c>
      <c r="G89" s="27">
        <f>'3.1'!I89</f>
        <v>2.92</v>
      </c>
      <c r="H89" s="27">
        <v>2.76</v>
      </c>
      <c r="I89" s="29">
        <f t="shared" si="10"/>
        <v>2.6880000000000002</v>
      </c>
      <c r="J89" s="29" t="str">
        <f>IFERROR(VLOOKUP(A89, '4.1'!$A$2:$O$52, 15, FALSE), "N/A")</f>
        <v>N/A</v>
      </c>
      <c r="K89" s="29" t="str">
        <f>IF(IFERROR(VLOOKUP(A89, '4.2'!$A$2:$D$52, 4, FALSE), "")="A+",4,IF(IFERROR(VLOOKUP(A89, '4.2'!$A$2:$D$52, 4, FALSE), "")="A",4,IF(IFERROR(VLOOKUP(A89, '4.2'!$A$2:$D$52, 4, FALSE), "")="A-",3.7,IF(IFERROR(VLOOKUP(A89, '4.2'!$A$2:$D$52, 4, FALSE), "")="B+",3.3,IF(IFERROR(VLOOKUP(A89, '4.2'!$A$2:$D$52, 4, FALSE), "")="B",3,IF(IFERROR(VLOOKUP(A89, '4.2'!$A$2:$D$52, 4, FALSE), "")="B-",2.7,IF(IFERROR(VLOOKUP(A89, '4.2'!$A$2:$D$52, 4, FALSE), "")="C+",2.3,IF(IFERROR(VLOOKUP(A89, '4.2'!$A$2:$D$52, 4, FALSE), "")="C",2,IF(IFERROR(VLOOKUP(A89, '4.2'!$A$2:$D$52, 4, FALSE), "")="C-",1.7,IF(IFERROR(VLOOKUP(A89, '4.2'!$A$2:$D$52, 4, FALSE), "")="D+",1.3,IF(IFERROR(VLOOKUP(A89, '4.2'!$A$2:$D$52, 4, FALSE), "")="D",1,IF(IFERROR(VLOOKUP(A89, '4.2'!$A$2:$D$52, 4, FALSE), "")="E",0,"N/A"))))))))))))</f>
        <v>N/A</v>
      </c>
      <c r="L89" s="29" t="str">
        <f t="shared" si="11"/>
        <v>N/A</v>
      </c>
      <c r="M89" s="29">
        <f t="shared" si="12"/>
        <v>2.6880000000000002</v>
      </c>
      <c r="N89" s="29" t="str">
        <f t="shared" si="13"/>
        <v>General (90 Cr)</v>
      </c>
      <c r="O89" s="30" t="str">
        <f t="shared" si="14"/>
        <v>General Pass</v>
      </c>
    </row>
    <row r="90" spans="1:15" ht="15.75" customHeight="1" x14ac:dyDescent="0.25">
      <c r="A90" s="27" t="s">
        <v>191</v>
      </c>
      <c r="B90" s="27" t="s">
        <v>192</v>
      </c>
      <c r="C90" s="27">
        <v>2.78</v>
      </c>
      <c r="D90" s="27">
        <v>2.5</v>
      </c>
      <c r="E90" s="28">
        <f>'2.1'!H90</f>
        <v>0</v>
      </c>
      <c r="F90" s="27">
        <v>0</v>
      </c>
      <c r="G90" s="27">
        <f>'3.1'!I90</f>
        <v>0</v>
      </c>
      <c r="H90" s="27">
        <v>0</v>
      </c>
      <c r="I90" s="29">
        <f t="shared" si="10"/>
        <v>0.88</v>
      </c>
      <c r="J90" s="29" t="str">
        <f>IFERROR(VLOOKUP(A90, '4.1'!$A$2:$O$52, 15, FALSE), "N/A")</f>
        <v>N/A</v>
      </c>
      <c r="K90" s="29" t="str">
        <f>IF(IFERROR(VLOOKUP(A90, '4.2'!$A$2:$D$52, 4, FALSE), "")="A+",4,IF(IFERROR(VLOOKUP(A90, '4.2'!$A$2:$D$52, 4, FALSE), "")="A",4,IF(IFERROR(VLOOKUP(A90, '4.2'!$A$2:$D$52, 4, FALSE), "")="A-",3.7,IF(IFERROR(VLOOKUP(A90, '4.2'!$A$2:$D$52, 4, FALSE), "")="B+",3.3,IF(IFERROR(VLOOKUP(A90, '4.2'!$A$2:$D$52, 4, FALSE), "")="B",3,IF(IFERROR(VLOOKUP(A90, '4.2'!$A$2:$D$52, 4, FALSE), "")="B-",2.7,IF(IFERROR(VLOOKUP(A90, '4.2'!$A$2:$D$52, 4, FALSE), "")="C+",2.3,IF(IFERROR(VLOOKUP(A90, '4.2'!$A$2:$D$52, 4, FALSE), "")="C",2,IF(IFERROR(VLOOKUP(A90, '4.2'!$A$2:$D$52, 4, FALSE), "")="C-",1.7,IF(IFERROR(VLOOKUP(A90, '4.2'!$A$2:$D$52, 4, FALSE), "")="D+",1.3,IF(IFERROR(VLOOKUP(A90, '4.2'!$A$2:$D$52, 4, FALSE), "")="D",1,IF(IFERROR(VLOOKUP(A90, '4.2'!$A$2:$D$52, 4, FALSE), "")="E",0,"N/A"))))))))))))</f>
        <v>N/A</v>
      </c>
      <c r="L90" s="29" t="str">
        <f t="shared" si="11"/>
        <v>N/A</v>
      </c>
      <c r="M90" s="29">
        <f t="shared" si="12"/>
        <v>0.88</v>
      </c>
      <c r="N90" s="29" t="str">
        <f t="shared" si="13"/>
        <v>General (90 Cr)</v>
      </c>
      <c r="O90" s="30" t="str">
        <f t="shared" si="14"/>
        <v>Below Pass</v>
      </c>
    </row>
    <row r="91" spans="1:15" ht="15.75" customHeight="1" x14ac:dyDescent="0.25">
      <c r="A91" s="27" t="s">
        <v>193</v>
      </c>
      <c r="B91" s="27" t="s">
        <v>194</v>
      </c>
      <c r="C91" s="27">
        <v>3.37</v>
      </c>
      <c r="D91" s="27">
        <v>3.55</v>
      </c>
      <c r="E91" s="28">
        <f>'2.1'!H91</f>
        <v>3.29</v>
      </c>
      <c r="F91" s="27">
        <v>2.31</v>
      </c>
      <c r="G91" s="27">
        <f>'3.1'!I91</f>
        <v>3.51</v>
      </c>
      <c r="H91" s="27">
        <v>3.39</v>
      </c>
      <c r="I91" s="29">
        <f t="shared" si="10"/>
        <v>3.2370000000000001</v>
      </c>
      <c r="J91" s="29" t="str">
        <f>IFERROR(VLOOKUP(A91, '4.1'!$A$2:$O$52, 15, FALSE), "N/A")</f>
        <v>N/A</v>
      </c>
      <c r="K91" s="29" t="str">
        <f>IF(IFERROR(VLOOKUP(A91, '4.2'!$A$2:$D$52, 4, FALSE), "")="A+",4,IF(IFERROR(VLOOKUP(A91, '4.2'!$A$2:$D$52, 4, FALSE), "")="A",4,IF(IFERROR(VLOOKUP(A91, '4.2'!$A$2:$D$52, 4, FALSE), "")="A-",3.7,IF(IFERROR(VLOOKUP(A91, '4.2'!$A$2:$D$52, 4, FALSE), "")="B+",3.3,IF(IFERROR(VLOOKUP(A91, '4.2'!$A$2:$D$52, 4, FALSE), "")="B",3,IF(IFERROR(VLOOKUP(A91, '4.2'!$A$2:$D$52, 4, FALSE), "")="B-",2.7,IF(IFERROR(VLOOKUP(A91, '4.2'!$A$2:$D$52, 4, FALSE), "")="C+",2.3,IF(IFERROR(VLOOKUP(A91, '4.2'!$A$2:$D$52, 4, FALSE), "")="C",2,IF(IFERROR(VLOOKUP(A91, '4.2'!$A$2:$D$52, 4, FALSE), "")="C-",1.7,IF(IFERROR(VLOOKUP(A91, '4.2'!$A$2:$D$52, 4, FALSE), "")="D+",1.3,IF(IFERROR(VLOOKUP(A91, '4.2'!$A$2:$D$52, 4, FALSE), "")="D",1,IF(IFERROR(VLOOKUP(A91, '4.2'!$A$2:$D$52, 4, FALSE), "")="E",0,"N/A"))))))))))))</f>
        <v>N/A</v>
      </c>
      <c r="L91" s="29" t="str">
        <f t="shared" si="11"/>
        <v>N/A</v>
      </c>
      <c r="M91" s="29">
        <f t="shared" si="12"/>
        <v>3.2370000000000001</v>
      </c>
      <c r="N91" s="29" t="str">
        <f t="shared" si="13"/>
        <v>General (90 Cr)</v>
      </c>
      <c r="O91" s="30" t="str">
        <f t="shared" si="14"/>
        <v>Second Class Lower</v>
      </c>
    </row>
    <row r="92" spans="1:15" ht="15.75" customHeight="1" x14ac:dyDescent="0.25">
      <c r="A92" s="27" t="s">
        <v>195</v>
      </c>
      <c r="B92" s="27" t="s">
        <v>196</v>
      </c>
      <c r="C92" s="27">
        <v>3.63</v>
      </c>
      <c r="D92" s="27">
        <v>3.05</v>
      </c>
      <c r="E92" s="28">
        <f>'2.1'!H92</f>
        <v>2.99</v>
      </c>
      <c r="F92" s="27">
        <v>2.25</v>
      </c>
      <c r="G92" s="27">
        <f>'3.1'!I92</f>
        <v>3.1</v>
      </c>
      <c r="H92" s="27">
        <v>3.03</v>
      </c>
      <c r="I92" s="29">
        <f t="shared" si="10"/>
        <v>3.008</v>
      </c>
      <c r="J92" s="29" t="str">
        <f>IFERROR(VLOOKUP(A92, '4.1'!$A$2:$O$52, 15, FALSE), "N/A")</f>
        <v>N/A</v>
      </c>
      <c r="K92" s="29" t="str">
        <f>IF(IFERROR(VLOOKUP(A92, '4.2'!$A$2:$D$52, 4, FALSE), "")="A+",4,IF(IFERROR(VLOOKUP(A92, '4.2'!$A$2:$D$52, 4, FALSE), "")="A",4,IF(IFERROR(VLOOKUP(A92, '4.2'!$A$2:$D$52, 4, FALSE), "")="A-",3.7,IF(IFERROR(VLOOKUP(A92, '4.2'!$A$2:$D$52, 4, FALSE), "")="B+",3.3,IF(IFERROR(VLOOKUP(A92, '4.2'!$A$2:$D$52, 4, FALSE), "")="B",3,IF(IFERROR(VLOOKUP(A92, '4.2'!$A$2:$D$52, 4, FALSE), "")="B-",2.7,IF(IFERROR(VLOOKUP(A92, '4.2'!$A$2:$D$52, 4, FALSE), "")="C+",2.3,IF(IFERROR(VLOOKUP(A92, '4.2'!$A$2:$D$52, 4, FALSE), "")="C",2,IF(IFERROR(VLOOKUP(A92, '4.2'!$A$2:$D$52, 4, FALSE), "")="C-",1.7,IF(IFERROR(VLOOKUP(A92, '4.2'!$A$2:$D$52, 4, FALSE), "")="D+",1.3,IF(IFERROR(VLOOKUP(A92, '4.2'!$A$2:$D$52, 4, FALSE), "")="D",1,IF(IFERROR(VLOOKUP(A92, '4.2'!$A$2:$D$52, 4, FALSE), "")="E",0,"N/A"))))))))))))</f>
        <v>N/A</v>
      </c>
      <c r="L92" s="29" t="str">
        <f t="shared" si="11"/>
        <v>N/A</v>
      </c>
      <c r="M92" s="29">
        <f t="shared" si="12"/>
        <v>3.008</v>
      </c>
      <c r="N92" s="29" t="str">
        <f t="shared" si="13"/>
        <v>General (90 Cr)</v>
      </c>
      <c r="O92" s="30" t="str">
        <f t="shared" si="14"/>
        <v>Second Class Lower</v>
      </c>
    </row>
    <row r="93" spans="1:15" ht="15.75" customHeight="1" x14ac:dyDescent="0.25">
      <c r="A93" s="27" t="s">
        <v>197</v>
      </c>
      <c r="B93" s="27" t="s">
        <v>198</v>
      </c>
      <c r="C93" s="27">
        <v>3.92</v>
      </c>
      <c r="D93" s="27">
        <v>3.47</v>
      </c>
      <c r="E93" s="28">
        <f>'2.1'!H93</f>
        <v>3.63</v>
      </c>
      <c r="F93" s="27">
        <v>3.37</v>
      </c>
      <c r="G93" s="27">
        <f>'3.1'!I93</f>
        <v>3.65</v>
      </c>
      <c r="H93" s="27">
        <v>3.55</v>
      </c>
      <c r="I93" s="29">
        <f t="shared" si="10"/>
        <v>3.5979999999999999</v>
      </c>
      <c r="J93" s="29">
        <f>IFERROR(VLOOKUP(A93, '4.1'!$A$2:$O$52, 15, FALSE), "N/A")</f>
        <v>3.65</v>
      </c>
      <c r="K93" s="29">
        <f>IF(IFERROR(VLOOKUP(A93, '4.2'!$A$2:$D$52, 4, FALSE), "")="A+",4,IF(IFERROR(VLOOKUP(A93, '4.2'!$A$2:$D$52, 4, FALSE), "")="A",4,IF(IFERROR(VLOOKUP(A93, '4.2'!$A$2:$D$52, 4, FALSE), "")="A-",3.7,IF(IFERROR(VLOOKUP(A93, '4.2'!$A$2:$D$52, 4, FALSE), "")="B+",3.3,IF(IFERROR(VLOOKUP(A93, '4.2'!$A$2:$D$52, 4, FALSE), "")="B",3,IF(IFERROR(VLOOKUP(A93, '4.2'!$A$2:$D$52, 4, FALSE), "")="B-",2.7,IF(IFERROR(VLOOKUP(A93, '4.2'!$A$2:$D$52, 4, FALSE), "")="C+",2.3,IF(IFERROR(VLOOKUP(A93, '4.2'!$A$2:$D$52, 4, FALSE), "")="C",2,IF(IFERROR(VLOOKUP(A93, '4.2'!$A$2:$D$52, 4, FALSE), "")="C-",1.7,IF(IFERROR(VLOOKUP(A93, '4.2'!$A$2:$D$52, 4, FALSE), "")="D+",1.3,IF(IFERROR(VLOOKUP(A93, '4.2'!$A$2:$D$52, 4, FALSE), "")="D",1,IF(IFERROR(VLOOKUP(A93, '4.2'!$A$2:$D$52, 4, FALSE), "")="E",0,"N/A"))))))))))))</f>
        <v>3.7</v>
      </c>
      <c r="L93" s="29">
        <f t="shared" si="11"/>
        <v>3.66</v>
      </c>
      <c r="M93" s="29">
        <f t="shared" si="12"/>
        <v>3.6139999999999999</v>
      </c>
      <c r="N93" s="29" t="str">
        <f t="shared" si="13"/>
        <v>Honours (120 Cr)</v>
      </c>
      <c r="O93" s="30" t="str">
        <f t="shared" si="14"/>
        <v>Second Class Upper</v>
      </c>
    </row>
    <row r="94" spans="1:15" ht="15.75" customHeight="1" x14ac:dyDescent="0.25">
      <c r="A94" s="27" t="s">
        <v>199</v>
      </c>
      <c r="B94" s="27" t="s">
        <v>200</v>
      </c>
      <c r="C94" s="27">
        <v>3.25</v>
      </c>
      <c r="D94" s="27">
        <v>3.31</v>
      </c>
      <c r="E94" s="28">
        <f>'2.1'!H94</f>
        <v>2.84</v>
      </c>
      <c r="F94" s="27">
        <v>2.4900000000000002</v>
      </c>
      <c r="G94" s="27">
        <f>'3.1'!I94</f>
        <v>3.31</v>
      </c>
      <c r="H94" s="27">
        <v>3.11</v>
      </c>
      <c r="I94" s="29">
        <f t="shared" si="10"/>
        <v>3.052</v>
      </c>
      <c r="J94" s="29" t="str">
        <f>IFERROR(VLOOKUP(A94, '4.1'!$A$2:$O$52, 15, FALSE), "N/A")</f>
        <v>N/A</v>
      </c>
      <c r="K94" s="29" t="str">
        <f>IF(IFERROR(VLOOKUP(A94, '4.2'!$A$2:$D$52, 4, FALSE), "")="A+",4,IF(IFERROR(VLOOKUP(A94, '4.2'!$A$2:$D$52, 4, FALSE), "")="A",4,IF(IFERROR(VLOOKUP(A94, '4.2'!$A$2:$D$52, 4, FALSE), "")="A-",3.7,IF(IFERROR(VLOOKUP(A94, '4.2'!$A$2:$D$52, 4, FALSE), "")="B+",3.3,IF(IFERROR(VLOOKUP(A94, '4.2'!$A$2:$D$52, 4, FALSE), "")="B",3,IF(IFERROR(VLOOKUP(A94, '4.2'!$A$2:$D$52, 4, FALSE), "")="B-",2.7,IF(IFERROR(VLOOKUP(A94, '4.2'!$A$2:$D$52, 4, FALSE), "")="C+",2.3,IF(IFERROR(VLOOKUP(A94, '4.2'!$A$2:$D$52, 4, FALSE), "")="C",2,IF(IFERROR(VLOOKUP(A94, '4.2'!$A$2:$D$52, 4, FALSE), "")="C-",1.7,IF(IFERROR(VLOOKUP(A94, '4.2'!$A$2:$D$52, 4, FALSE), "")="D+",1.3,IF(IFERROR(VLOOKUP(A94, '4.2'!$A$2:$D$52, 4, FALSE), "")="D",1,IF(IFERROR(VLOOKUP(A94, '4.2'!$A$2:$D$52, 4, FALSE), "")="E",0,"N/A"))))))))))))</f>
        <v>N/A</v>
      </c>
      <c r="L94" s="29" t="str">
        <f t="shared" si="11"/>
        <v>N/A</v>
      </c>
      <c r="M94" s="29">
        <f t="shared" si="12"/>
        <v>3.052</v>
      </c>
      <c r="N94" s="29" t="str">
        <f t="shared" si="13"/>
        <v>General (90 Cr)</v>
      </c>
      <c r="O94" s="30" t="str">
        <f t="shared" si="14"/>
        <v>Second Class Lower</v>
      </c>
    </row>
    <row r="95" spans="1:15" ht="15.75" customHeight="1" x14ac:dyDescent="0.25">
      <c r="A95" s="27" t="s">
        <v>201</v>
      </c>
      <c r="B95" s="27" t="s">
        <v>202</v>
      </c>
      <c r="C95" s="27">
        <v>3.62</v>
      </c>
      <c r="D95" s="27">
        <v>3.1</v>
      </c>
      <c r="E95" s="28">
        <f>'2.1'!H95</f>
        <v>2.89</v>
      </c>
      <c r="F95" s="27">
        <v>2.75</v>
      </c>
      <c r="G95" s="27">
        <f>'3.1'!I95</f>
        <v>3.32</v>
      </c>
      <c r="H95" s="27">
        <v>3.02</v>
      </c>
      <c r="I95" s="29">
        <f t="shared" si="10"/>
        <v>3.117</v>
      </c>
      <c r="J95" s="29">
        <f>IFERROR(VLOOKUP(A95, '4.1'!$A$2:$O$52, 15, FALSE), "N/A")</f>
        <v>3.16</v>
      </c>
      <c r="K95" s="29">
        <f>IF(IFERROR(VLOOKUP(A95, '4.2'!$A$2:$D$52, 4, FALSE), "")="A+",4,IF(IFERROR(VLOOKUP(A95, '4.2'!$A$2:$D$52, 4, FALSE), "")="A",4,IF(IFERROR(VLOOKUP(A95, '4.2'!$A$2:$D$52, 4, FALSE), "")="A-",3.7,IF(IFERROR(VLOOKUP(A95, '4.2'!$A$2:$D$52, 4, FALSE), "")="B+",3.3,IF(IFERROR(VLOOKUP(A95, '4.2'!$A$2:$D$52, 4, FALSE), "")="B",3,IF(IFERROR(VLOOKUP(A95, '4.2'!$A$2:$D$52, 4, FALSE), "")="B-",2.7,IF(IFERROR(VLOOKUP(A95, '4.2'!$A$2:$D$52, 4, FALSE), "")="C+",2.3,IF(IFERROR(VLOOKUP(A95, '4.2'!$A$2:$D$52, 4, FALSE), "")="C",2,IF(IFERROR(VLOOKUP(A95, '4.2'!$A$2:$D$52, 4, FALSE), "")="C-",1.7,IF(IFERROR(VLOOKUP(A95, '4.2'!$A$2:$D$52, 4, FALSE), "")="D+",1.3,IF(IFERROR(VLOOKUP(A95, '4.2'!$A$2:$D$52, 4, FALSE), "")="D",1,IF(IFERROR(VLOOKUP(A95, '4.2'!$A$2:$D$52, 4, FALSE), "")="E",0,"N/A"))))))))))))</f>
        <v>3.7</v>
      </c>
      <c r="L95" s="29">
        <f t="shared" si="11"/>
        <v>3.2679999999999998</v>
      </c>
      <c r="M95" s="29">
        <f t="shared" si="12"/>
        <v>3.1549999999999998</v>
      </c>
      <c r="N95" s="29" t="str">
        <f t="shared" si="13"/>
        <v>Honours (120 Cr)</v>
      </c>
      <c r="O95" s="30" t="str">
        <f t="shared" si="14"/>
        <v>Second Class Lower</v>
      </c>
    </row>
    <row r="96" spans="1:15" ht="15.75" customHeight="1" x14ac:dyDescent="0.25">
      <c r="A96" s="27" t="s">
        <v>203</v>
      </c>
      <c r="B96" s="27" t="s">
        <v>204</v>
      </c>
      <c r="C96" s="27">
        <v>3.73</v>
      </c>
      <c r="D96" s="27">
        <v>3.56</v>
      </c>
      <c r="E96" s="28">
        <f>'2.1'!H96</f>
        <v>3.61</v>
      </c>
      <c r="F96" s="27">
        <v>3.03</v>
      </c>
      <c r="G96" s="27">
        <f>'3.1'!I96</f>
        <v>3.61</v>
      </c>
      <c r="H96" s="27">
        <v>3.24</v>
      </c>
      <c r="I96" s="29">
        <f t="shared" si="10"/>
        <v>3.4630000000000001</v>
      </c>
      <c r="J96" s="29">
        <f>IFERROR(VLOOKUP(A96, '4.1'!$A$2:$O$52, 15, FALSE), "N/A")</f>
        <v>3.32</v>
      </c>
      <c r="K96" s="29">
        <f>IF(IFERROR(VLOOKUP(A96, '4.2'!$A$2:$D$52, 4, FALSE), "")="A+",4,IF(IFERROR(VLOOKUP(A96, '4.2'!$A$2:$D$52, 4, FALSE), "")="A",4,IF(IFERROR(VLOOKUP(A96, '4.2'!$A$2:$D$52, 4, FALSE), "")="A-",3.7,IF(IFERROR(VLOOKUP(A96, '4.2'!$A$2:$D$52, 4, FALSE), "")="B+",3.3,IF(IFERROR(VLOOKUP(A96, '4.2'!$A$2:$D$52, 4, FALSE), "")="B",3,IF(IFERROR(VLOOKUP(A96, '4.2'!$A$2:$D$52, 4, FALSE), "")="B-",2.7,IF(IFERROR(VLOOKUP(A96, '4.2'!$A$2:$D$52, 4, FALSE), "")="C+",2.3,IF(IFERROR(VLOOKUP(A96, '4.2'!$A$2:$D$52, 4, FALSE), "")="C",2,IF(IFERROR(VLOOKUP(A96, '4.2'!$A$2:$D$52, 4, FALSE), "")="C-",1.7,IF(IFERROR(VLOOKUP(A96, '4.2'!$A$2:$D$52, 4, FALSE), "")="D+",1.3,IF(IFERROR(VLOOKUP(A96, '4.2'!$A$2:$D$52, 4, FALSE), "")="D",1,IF(IFERROR(VLOOKUP(A96, '4.2'!$A$2:$D$52, 4, FALSE), "")="E",0,"N/A"))))))))))))</f>
        <v>3.7</v>
      </c>
      <c r="L96" s="29">
        <f t="shared" si="11"/>
        <v>3.3959999999999999</v>
      </c>
      <c r="M96" s="29">
        <f t="shared" si="12"/>
        <v>3.4460000000000002</v>
      </c>
      <c r="N96" s="29" t="str">
        <f t="shared" si="13"/>
        <v>Honours (120 Cr)</v>
      </c>
      <c r="O96" s="30" t="str">
        <f t="shared" si="14"/>
        <v>Second Class Upper</v>
      </c>
    </row>
    <row r="97" spans="1:15" ht="15.75" customHeight="1" x14ac:dyDescent="0.25">
      <c r="A97" s="27" t="s">
        <v>205</v>
      </c>
      <c r="B97" s="27" t="s">
        <v>206</v>
      </c>
      <c r="C97" s="27">
        <v>3.18</v>
      </c>
      <c r="D97" s="27">
        <v>3.54</v>
      </c>
      <c r="E97" s="28">
        <f>'2.1'!H97</f>
        <v>2.96</v>
      </c>
      <c r="F97" s="27">
        <v>2.93</v>
      </c>
      <c r="G97" s="27">
        <f>'3.1'!I97</f>
        <v>3.41</v>
      </c>
      <c r="H97" s="27">
        <v>3.33</v>
      </c>
      <c r="I97" s="29">
        <f t="shared" si="10"/>
        <v>3.2250000000000001</v>
      </c>
      <c r="J97" s="29" t="str">
        <f>IFERROR(VLOOKUP(A97, '4.1'!$A$2:$O$52, 15, FALSE), "N/A")</f>
        <v>N/A</v>
      </c>
      <c r="K97" s="29" t="str">
        <f>IF(IFERROR(VLOOKUP(A97, '4.2'!$A$2:$D$52, 4, FALSE), "")="A+",4,IF(IFERROR(VLOOKUP(A97, '4.2'!$A$2:$D$52, 4, FALSE), "")="A",4,IF(IFERROR(VLOOKUP(A97, '4.2'!$A$2:$D$52, 4, FALSE), "")="A-",3.7,IF(IFERROR(VLOOKUP(A97, '4.2'!$A$2:$D$52, 4, FALSE), "")="B+",3.3,IF(IFERROR(VLOOKUP(A97, '4.2'!$A$2:$D$52, 4, FALSE), "")="B",3,IF(IFERROR(VLOOKUP(A97, '4.2'!$A$2:$D$52, 4, FALSE), "")="B-",2.7,IF(IFERROR(VLOOKUP(A97, '4.2'!$A$2:$D$52, 4, FALSE), "")="C+",2.3,IF(IFERROR(VLOOKUP(A97, '4.2'!$A$2:$D$52, 4, FALSE), "")="C",2,IF(IFERROR(VLOOKUP(A97, '4.2'!$A$2:$D$52, 4, FALSE), "")="C-",1.7,IF(IFERROR(VLOOKUP(A97, '4.2'!$A$2:$D$52, 4, FALSE), "")="D+",1.3,IF(IFERROR(VLOOKUP(A97, '4.2'!$A$2:$D$52, 4, FALSE), "")="D",1,IF(IFERROR(VLOOKUP(A97, '4.2'!$A$2:$D$52, 4, FALSE), "")="E",0,"N/A"))))))))))))</f>
        <v>N/A</v>
      </c>
      <c r="L97" s="29" t="str">
        <f t="shared" si="11"/>
        <v>N/A</v>
      </c>
      <c r="M97" s="29">
        <f t="shared" si="12"/>
        <v>3.2250000000000001</v>
      </c>
      <c r="N97" s="29" t="str">
        <f t="shared" si="13"/>
        <v>General (90 Cr)</v>
      </c>
      <c r="O97" s="30" t="str">
        <f t="shared" si="14"/>
        <v>Second Class Lower</v>
      </c>
    </row>
    <row r="98" spans="1:15" ht="15.75" customHeight="1" x14ac:dyDescent="0.25">
      <c r="A98" s="27" t="s">
        <v>207</v>
      </c>
      <c r="B98" s="27" t="s">
        <v>208</v>
      </c>
      <c r="C98" s="27">
        <v>2.87</v>
      </c>
      <c r="D98" s="27">
        <v>3.15</v>
      </c>
      <c r="E98" s="28">
        <f>'2.1'!H98</f>
        <v>3.33</v>
      </c>
      <c r="F98" s="27">
        <v>3.23</v>
      </c>
      <c r="G98" s="27">
        <f>'3.1'!I98</f>
        <v>3.59</v>
      </c>
      <c r="H98" s="27">
        <v>3.58</v>
      </c>
      <c r="I98" s="29">
        <f t="shared" ref="I98:I108" si="15">ROUND(AVERAGE(C98:H98), 3)</f>
        <v>3.2919999999999998</v>
      </c>
      <c r="J98" s="29">
        <f>IFERROR(VLOOKUP(A98, '4.1'!$A$2:$O$52, 15, FALSE), "N/A")</f>
        <v>3.69</v>
      </c>
      <c r="K98" s="29">
        <f>IF(IFERROR(VLOOKUP(A98, '4.2'!$A$2:$D$52, 4, FALSE), "")="A+",4,IF(IFERROR(VLOOKUP(A98, '4.2'!$A$2:$D$52, 4, FALSE), "")="A",4,IF(IFERROR(VLOOKUP(A98, '4.2'!$A$2:$D$52, 4, FALSE), "")="A-",3.7,IF(IFERROR(VLOOKUP(A98, '4.2'!$A$2:$D$52, 4, FALSE), "")="B+",3.3,IF(IFERROR(VLOOKUP(A98, '4.2'!$A$2:$D$52, 4, FALSE), "")="B",3,IF(IFERROR(VLOOKUP(A98, '4.2'!$A$2:$D$52, 4, FALSE), "")="B-",2.7,IF(IFERROR(VLOOKUP(A98, '4.2'!$A$2:$D$52, 4, FALSE), "")="C+",2.3,IF(IFERROR(VLOOKUP(A98, '4.2'!$A$2:$D$52, 4, FALSE), "")="C",2,IF(IFERROR(VLOOKUP(A98, '4.2'!$A$2:$D$52, 4, FALSE), "")="C-",1.7,IF(IFERROR(VLOOKUP(A98, '4.2'!$A$2:$D$52, 4, FALSE), "")="D+",1.3,IF(IFERROR(VLOOKUP(A98, '4.2'!$A$2:$D$52, 4, FALSE), "")="D",1,IF(IFERROR(VLOOKUP(A98, '4.2'!$A$2:$D$52, 4, FALSE), "")="E",0,"N/A"))))))))))))</f>
        <v>4</v>
      </c>
      <c r="L98" s="29">
        <f t="shared" ref="L98:L108" si="16">IF(ISNUMBER(J98), ROUND((J98*24 + K98*6)/30, 3), "N/A")</f>
        <v>3.7519999999999998</v>
      </c>
      <c r="M98" s="29">
        <f t="shared" ref="M98:M108" si="17">IF(ISNUMBER(L98), ROUND(I98*0.75 + L98*0.25, 3), I98)</f>
        <v>3.407</v>
      </c>
      <c r="N98" s="29" t="str">
        <f t="shared" ref="N98:N108" si="18">IF(ISNUMBER(L98), "Honours (120 Cr)", "General (90 Cr)")</f>
        <v>Honours (120 Cr)</v>
      </c>
      <c r="O98" s="30" t="str">
        <f t="shared" ref="O98:O108" si="19">IF(M98&gt;=3.7, "First Class", IF(M98&gt;=3.3, "Second Class Upper", IF(M98&gt;=3, "Second Class Lower", IF(M98&gt;=2, "General Pass", "Below Pass"))))</f>
        <v>Second Class Upper</v>
      </c>
    </row>
    <row r="99" spans="1:15" ht="15.75" customHeight="1" x14ac:dyDescent="0.25">
      <c r="A99" s="27" t="s">
        <v>209</v>
      </c>
      <c r="B99" s="27" t="s">
        <v>210</v>
      </c>
      <c r="C99" s="27">
        <v>2.98</v>
      </c>
      <c r="D99" s="27">
        <v>3.1</v>
      </c>
      <c r="E99" s="28">
        <f>'2.1'!H99</f>
        <v>2.75</v>
      </c>
      <c r="F99" s="27">
        <v>1.88</v>
      </c>
      <c r="G99" s="27">
        <f>'3.1'!I99</f>
        <v>3.27</v>
      </c>
      <c r="H99" s="27">
        <v>3.04</v>
      </c>
      <c r="I99" s="29">
        <f t="shared" si="15"/>
        <v>2.8370000000000002</v>
      </c>
      <c r="J99" s="29" t="str">
        <f>IFERROR(VLOOKUP(A99, '4.1'!$A$2:$O$52, 15, FALSE), "N/A")</f>
        <v>N/A</v>
      </c>
      <c r="K99" s="29" t="str">
        <f>IF(IFERROR(VLOOKUP(A99, '4.2'!$A$2:$D$52, 4, FALSE), "")="A+",4,IF(IFERROR(VLOOKUP(A99, '4.2'!$A$2:$D$52, 4, FALSE), "")="A",4,IF(IFERROR(VLOOKUP(A99, '4.2'!$A$2:$D$52, 4, FALSE), "")="A-",3.7,IF(IFERROR(VLOOKUP(A99, '4.2'!$A$2:$D$52, 4, FALSE), "")="B+",3.3,IF(IFERROR(VLOOKUP(A99, '4.2'!$A$2:$D$52, 4, FALSE), "")="B",3,IF(IFERROR(VLOOKUP(A99, '4.2'!$A$2:$D$52, 4, FALSE), "")="B-",2.7,IF(IFERROR(VLOOKUP(A99, '4.2'!$A$2:$D$52, 4, FALSE), "")="C+",2.3,IF(IFERROR(VLOOKUP(A99, '4.2'!$A$2:$D$52, 4, FALSE), "")="C",2,IF(IFERROR(VLOOKUP(A99, '4.2'!$A$2:$D$52, 4, FALSE), "")="C-",1.7,IF(IFERROR(VLOOKUP(A99, '4.2'!$A$2:$D$52, 4, FALSE), "")="D+",1.3,IF(IFERROR(VLOOKUP(A99, '4.2'!$A$2:$D$52, 4, FALSE), "")="D",1,IF(IFERROR(VLOOKUP(A99, '4.2'!$A$2:$D$52, 4, FALSE), "")="E",0,"N/A"))))))))))))</f>
        <v>N/A</v>
      </c>
      <c r="L99" s="29" t="str">
        <f t="shared" si="16"/>
        <v>N/A</v>
      </c>
      <c r="M99" s="29">
        <f t="shared" si="17"/>
        <v>2.8370000000000002</v>
      </c>
      <c r="N99" s="29" t="str">
        <f t="shared" si="18"/>
        <v>General (90 Cr)</v>
      </c>
      <c r="O99" s="30" t="str">
        <f t="shared" si="19"/>
        <v>General Pass</v>
      </c>
    </row>
    <row r="100" spans="1:15" ht="15.75" customHeight="1" x14ac:dyDescent="0.25">
      <c r="A100" s="27" t="s">
        <v>211</v>
      </c>
      <c r="B100" s="27" t="s">
        <v>212</v>
      </c>
      <c r="C100" s="27">
        <v>2.94</v>
      </c>
      <c r="D100" s="27">
        <v>3.29</v>
      </c>
      <c r="E100" s="28">
        <f>'2.1'!H100</f>
        <v>2.99</v>
      </c>
      <c r="F100" s="27">
        <v>2.2200000000000002</v>
      </c>
      <c r="G100" s="27">
        <f>'3.1'!I100</f>
        <v>3.3</v>
      </c>
      <c r="H100" s="27">
        <v>3.19</v>
      </c>
      <c r="I100" s="29">
        <f t="shared" si="15"/>
        <v>2.988</v>
      </c>
      <c r="J100" s="29" t="str">
        <f>IFERROR(VLOOKUP(A100, '4.1'!$A$2:$O$52, 15, FALSE), "N/A")</f>
        <v>N/A</v>
      </c>
      <c r="K100" s="29" t="str">
        <f>IF(IFERROR(VLOOKUP(A100, '4.2'!$A$2:$D$52, 4, FALSE), "")="A+",4,IF(IFERROR(VLOOKUP(A100, '4.2'!$A$2:$D$52, 4, FALSE), "")="A",4,IF(IFERROR(VLOOKUP(A100, '4.2'!$A$2:$D$52, 4, FALSE), "")="A-",3.7,IF(IFERROR(VLOOKUP(A100, '4.2'!$A$2:$D$52, 4, FALSE), "")="B+",3.3,IF(IFERROR(VLOOKUP(A100, '4.2'!$A$2:$D$52, 4, FALSE), "")="B",3,IF(IFERROR(VLOOKUP(A100, '4.2'!$A$2:$D$52, 4, FALSE), "")="B-",2.7,IF(IFERROR(VLOOKUP(A100, '4.2'!$A$2:$D$52, 4, FALSE), "")="C+",2.3,IF(IFERROR(VLOOKUP(A100, '4.2'!$A$2:$D$52, 4, FALSE), "")="C",2,IF(IFERROR(VLOOKUP(A100, '4.2'!$A$2:$D$52, 4, FALSE), "")="C-",1.7,IF(IFERROR(VLOOKUP(A100, '4.2'!$A$2:$D$52, 4, FALSE), "")="D+",1.3,IF(IFERROR(VLOOKUP(A100, '4.2'!$A$2:$D$52, 4, FALSE), "")="D",1,IF(IFERROR(VLOOKUP(A100, '4.2'!$A$2:$D$52, 4, FALSE), "")="E",0,"N/A"))))))))))))</f>
        <v>N/A</v>
      </c>
      <c r="L100" s="29" t="str">
        <f t="shared" si="16"/>
        <v>N/A</v>
      </c>
      <c r="M100" s="29">
        <f t="shared" si="17"/>
        <v>2.988</v>
      </c>
      <c r="N100" s="29" t="str">
        <f t="shared" si="18"/>
        <v>General (90 Cr)</v>
      </c>
      <c r="O100" s="30" t="str">
        <f t="shared" si="19"/>
        <v>General Pass</v>
      </c>
    </row>
    <row r="101" spans="1:15" ht="15.75" customHeight="1" x14ac:dyDescent="0.25">
      <c r="A101" s="27" t="s">
        <v>213</v>
      </c>
      <c r="B101" s="27" t="s">
        <v>214</v>
      </c>
      <c r="C101" s="27">
        <v>3.23</v>
      </c>
      <c r="D101" s="27">
        <v>3.71</v>
      </c>
      <c r="E101" s="28">
        <f>'2.1'!H101</f>
        <v>3.43</v>
      </c>
      <c r="F101" s="27">
        <v>2.91</v>
      </c>
      <c r="G101" s="27">
        <f>'3.1'!I101</f>
        <v>3.45</v>
      </c>
      <c r="H101" s="27">
        <v>3.75</v>
      </c>
      <c r="I101" s="29">
        <f t="shared" si="15"/>
        <v>3.4129999999999998</v>
      </c>
      <c r="J101" s="29">
        <f>IFERROR(VLOOKUP(A101, '4.1'!$A$2:$O$52, 15, FALSE), "N/A")</f>
        <v>3.76</v>
      </c>
      <c r="K101" s="29">
        <f>IF(IFERROR(VLOOKUP(A101, '4.2'!$A$2:$D$52, 4, FALSE), "")="A+",4,IF(IFERROR(VLOOKUP(A101, '4.2'!$A$2:$D$52, 4, FALSE), "")="A",4,IF(IFERROR(VLOOKUP(A101, '4.2'!$A$2:$D$52, 4, FALSE), "")="A-",3.7,IF(IFERROR(VLOOKUP(A101, '4.2'!$A$2:$D$52, 4, FALSE), "")="B+",3.3,IF(IFERROR(VLOOKUP(A101, '4.2'!$A$2:$D$52, 4, FALSE), "")="B",3,IF(IFERROR(VLOOKUP(A101, '4.2'!$A$2:$D$52, 4, FALSE), "")="B-",2.7,IF(IFERROR(VLOOKUP(A101, '4.2'!$A$2:$D$52, 4, FALSE), "")="C+",2.3,IF(IFERROR(VLOOKUP(A101, '4.2'!$A$2:$D$52, 4, FALSE), "")="C",2,IF(IFERROR(VLOOKUP(A101, '4.2'!$A$2:$D$52, 4, FALSE), "")="C-",1.7,IF(IFERROR(VLOOKUP(A101, '4.2'!$A$2:$D$52, 4, FALSE), "")="D+",1.3,IF(IFERROR(VLOOKUP(A101, '4.2'!$A$2:$D$52, 4, FALSE), "")="D",1,IF(IFERROR(VLOOKUP(A101, '4.2'!$A$2:$D$52, 4, FALSE), "")="E",0,"N/A"))))))))))))</f>
        <v>4</v>
      </c>
      <c r="L101" s="29">
        <f t="shared" si="16"/>
        <v>3.8079999999999998</v>
      </c>
      <c r="M101" s="29">
        <f t="shared" si="17"/>
        <v>3.512</v>
      </c>
      <c r="N101" s="29" t="str">
        <f t="shared" si="18"/>
        <v>Honours (120 Cr)</v>
      </c>
      <c r="O101" s="30" t="str">
        <f t="shared" si="19"/>
        <v>Second Class Upper</v>
      </c>
    </row>
    <row r="102" spans="1:15" ht="15.75" customHeight="1" x14ac:dyDescent="0.25">
      <c r="A102" s="27" t="s">
        <v>215</v>
      </c>
      <c r="B102" s="27" t="s">
        <v>216</v>
      </c>
      <c r="C102" s="27">
        <v>2.37</v>
      </c>
      <c r="D102" s="27">
        <v>3.35</v>
      </c>
      <c r="E102" s="28">
        <f>'2.1'!H102</f>
        <v>2.65</v>
      </c>
      <c r="F102" s="27">
        <v>2.41</v>
      </c>
      <c r="G102" s="27">
        <f>'3.1'!I102</f>
        <v>3.29</v>
      </c>
      <c r="H102" s="27">
        <v>2.88</v>
      </c>
      <c r="I102" s="29">
        <f t="shared" si="15"/>
        <v>2.8250000000000002</v>
      </c>
      <c r="J102" s="29" t="str">
        <f>IFERROR(VLOOKUP(A102, '4.1'!$A$2:$O$52, 15, FALSE), "N/A")</f>
        <v>N/A</v>
      </c>
      <c r="K102" s="29" t="str">
        <f>IF(IFERROR(VLOOKUP(A102, '4.2'!$A$2:$D$52, 4, FALSE), "")="A+",4,IF(IFERROR(VLOOKUP(A102, '4.2'!$A$2:$D$52, 4, FALSE), "")="A",4,IF(IFERROR(VLOOKUP(A102, '4.2'!$A$2:$D$52, 4, FALSE), "")="A-",3.7,IF(IFERROR(VLOOKUP(A102, '4.2'!$A$2:$D$52, 4, FALSE), "")="B+",3.3,IF(IFERROR(VLOOKUP(A102, '4.2'!$A$2:$D$52, 4, FALSE), "")="B",3,IF(IFERROR(VLOOKUP(A102, '4.2'!$A$2:$D$52, 4, FALSE), "")="B-",2.7,IF(IFERROR(VLOOKUP(A102, '4.2'!$A$2:$D$52, 4, FALSE), "")="C+",2.3,IF(IFERROR(VLOOKUP(A102, '4.2'!$A$2:$D$52, 4, FALSE), "")="C",2,IF(IFERROR(VLOOKUP(A102, '4.2'!$A$2:$D$52, 4, FALSE), "")="C-",1.7,IF(IFERROR(VLOOKUP(A102, '4.2'!$A$2:$D$52, 4, FALSE), "")="D+",1.3,IF(IFERROR(VLOOKUP(A102, '4.2'!$A$2:$D$52, 4, FALSE), "")="D",1,IF(IFERROR(VLOOKUP(A102, '4.2'!$A$2:$D$52, 4, FALSE), "")="E",0,"N/A"))))))))))))</f>
        <v>N/A</v>
      </c>
      <c r="L102" s="29" t="str">
        <f t="shared" si="16"/>
        <v>N/A</v>
      </c>
      <c r="M102" s="29">
        <f t="shared" si="17"/>
        <v>2.8250000000000002</v>
      </c>
      <c r="N102" s="29" t="str">
        <f t="shared" si="18"/>
        <v>General (90 Cr)</v>
      </c>
      <c r="O102" s="30" t="str">
        <f t="shared" si="19"/>
        <v>General Pass</v>
      </c>
    </row>
    <row r="103" spans="1:15" ht="15.75" customHeight="1" x14ac:dyDescent="0.25">
      <c r="A103" s="27" t="s">
        <v>217</v>
      </c>
      <c r="B103" s="27" t="s">
        <v>218</v>
      </c>
      <c r="C103" s="27">
        <v>2.87</v>
      </c>
      <c r="D103" s="27">
        <v>3.18</v>
      </c>
      <c r="E103" s="28">
        <f>'2.1'!H103</f>
        <v>2.65</v>
      </c>
      <c r="F103" s="27">
        <v>2.46</v>
      </c>
      <c r="G103" s="27">
        <f>'3.1'!I103</f>
        <v>3.41</v>
      </c>
      <c r="H103" s="27">
        <v>3.27</v>
      </c>
      <c r="I103" s="29">
        <f t="shared" si="15"/>
        <v>2.9729999999999999</v>
      </c>
      <c r="J103" s="29" t="str">
        <f>IFERROR(VLOOKUP(A103, '4.1'!$A$2:$O$52, 15, FALSE), "N/A")</f>
        <v>N/A</v>
      </c>
      <c r="K103" s="29" t="str">
        <f>IF(IFERROR(VLOOKUP(A103, '4.2'!$A$2:$D$52, 4, FALSE), "")="A+",4,IF(IFERROR(VLOOKUP(A103, '4.2'!$A$2:$D$52, 4, FALSE), "")="A",4,IF(IFERROR(VLOOKUP(A103, '4.2'!$A$2:$D$52, 4, FALSE), "")="A-",3.7,IF(IFERROR(VLOOKUP(A103, '4.2'!$A$2:$D$52, 4, FALSE), "")="B+",3.3,IF(IFERROR(VLOOKUP(A103, '4.2'!$A$2:$D$52, 4, FALSE), "")="B",3,IF(IFERROR(VLOOKUP(A103, '4.2'!$A$2:$D$52, 4, FALSE), "")="B-",2.7,IF(IFERROR(VLOOKUP(A103, '4.2'!$A$2:$D$52, 4, FALSE), "")="C+",2.3,IF(IFERROR(VLOOKUP(A103, '4.2'!$A$2:$D$52, 4, FALSE), "")="C",2,IF(IFERROR(VLOOKUP(A103, '4.2'!$A$2:$D$52, 4, FALSE), "")="C-",1.7,IF(IFERROR(VLOOKUP(A103, '4.2'!$A$2:$D$52, 4, FALSE), "")="D+",1.3,IF(IFERROR(VLOOKUP(A103, '4.2'!$A$2:$D$52, 4, FALSE), "")="D",1,IF(IFERROR(VLOOKUP(A103, '4.2'!$A$2:$D$52, 4, FALSE), "")="E",0,"N/A"))))))))))))</f>
        <v>N/A</v>
      </c>
      <c r="L103" s="29" t="str">
        <f t="shared" si="16"/>
        <v>N/A</v>
      </c>
      <c r="M103" s="29">
        <f t="shared" si="17"/>
        <v>2.9729999999999999</v>
      </c>
      <c r="N103" s="29" t="str">
        <f t="shared" si="18"/>
        <v>General (90 Cr)</v>
      </c>
      <c r="O103" s="30" t="str">
        <f t="shared" si="19"/>
        <v>General Pass</v>
      </c>
    </row>
    <row r="104" spans="1:15" ht="15.75" customHeight="1" x14ac:dyDescent="0.25">
      <c r="A104" s="27" t="s">
        <v>219</v>
      </c>
      <c r="B104" s="27" t="s">
        <v>220</v>
      </c>
      <c r="C104" s="27">
        <v>2.85</v>
      </c>
      <c r="D104" s="27">
        <v>2.71</v>
      </c>
      <c r="E104" s="28">
        <f>'2.1'!H104</f>
        <v>2.2400000000000002</v>
      </c>
      <c r="F104" s="27">
        <v>1.74</v>
      </c>
      <c r="G104" s="27">
        <f>'3.1'!I104</f>
        <v>3.29</v>
      </c>
      <c r="H104" s="27">
        <v>3.05</v>
      </c>
      <c r="I104" s="29">
        <f t="shared" si="15"/>
        <v>2.6469999999999998</v>
      </c>
      <c r="J104" s="29" t="str">
        <f>IFERROR(VLOOKUP(A104, '4.1'!$A$2:$O$52, 15, FALSE), "N/A")</f>
        <v>N/A</v>
      </c>
      <c r="K104" s="29" t="str">
        <f>IF(IFERROR(VLOOKUP(A104, '4.2'!$A$2:$D$52, 4, FALSE), "")="A+",4,IF(IFERROR(VLOOKUP(A104, '4.2'!$A$2:$D$52, 4, FALSE), "")="A",4,IF(IFERROR(VLOOKUP(A104, '4.2'!$A$2:$D$52, 4, FALSE), "")="A-",3.7,IF(IFERROR(VLOOKUP(A104, '4.2'!$A$2:$D$52, 4, FALSE), "")="B+",3.3,IF(IFERROR(VLOOKUP(A104, '4.2'!$A$2:$D$52, 4, FALSE), "")="B",3,IF(IFERROR(VLOOKUP(A104, '4.2'!$A$2:$D$52, 4, FALSE), "")="B-",2.7,IF(IFERROR(VLOOKUP(A104, '4.2'!$A$2:$D$52, 4, FALSE), "")="C+",2.3,IF(IFERROR(VLOOKUP(A104, '4.2'!$A$2:$D$52, 4, FALSE), "")="C",2,IF(IFERROR(VLOOKUP(A104, '4.2'!$A$2:$D$52, 4, FALSE), "")="C-",1.7,IF(IFERROR(VLOOKUP(A104, '4.2'!$A$2:$D$52, 4, FALSE), "")="D+",1.3,IF(IFERROR(VLOOKUP(A104, '4.2'!$A$2:$D$52, 4, FALSE), "")="D",1,IF(IFERROR(VLOOKUP(A104, '4.2'!$A$2:$D$52, 4, FALSE), "")="E",0,"N/A"))))))))))))</f>
        <v>N/A</v>
      </c>
      <c r="L104" s="29" t="str">
        <f t="shared" si="16"/>
        <v>N/A</v>
      </c>
      <c r="M104" s="29">
        <f t="shared" si="17"/>
        <v>2.6469999999999998</v>
      </c>
      <c r="N104" s="29" t="str">
        <f t="shared" si="18"/>
        <v>General (90 Cr)</v>
      </c>
      <c r="O104" s="30" t="str">
        <f t="shared" si="19"/>
        <v>General Pass</v>
      </c>
    </row>
    <row r="105" spans="1:15" ht="15.75" customHeight="1" x14ac:dyDescent="0.25">
      <c r="A105" s="27" t="s">
        <v>221</v>
      </c>
      <c r="B105" s="27" t="s">
        <v>222</v>
      </c>
      <c r="C105" s="27">
        <v>3.49</v>
      </c>
      <c r="D105" s="27">
        <v>3.47</v>
      </c>
      <c r="E105" s="28">
        <f>'2.1'!H105</f>
        <v>3.51</v>
      </c>
      <c r="F105" s="27">
        <v>3.28</v>
      </c>
      <c r="G105" s="27">
        <f>'3.1'!I105</f>
        <v>3.75</v>
      </c>
      <c r="H105" s="27">
        <v>3.96</v>
      </c>
      <c r="I105" s="29">
        <f t="shared" si="15"/>
        <v>3.577</v>
      </c>
      <c r="J105" s="29">
        <f>IFERROR(VLOOKUP(A105, '4.1'!$A$2:$O$52, 15, FALSE), "N/A")</f>
        <v>3.79</v>
      </c>
      <c r="K105" s="29">
        <f>IF(IFERROR(VLOOKUP(A105, '4.2'!$A$2:$D$52, 4, FALSE), "")="A+",4,IF(IFERROR(VLOOKUP(A105, '4.2'!$A$2:$D$52, 4, FALSE), "")="A",4,IF(IFERROR(VLOOKUP(A105, '4.2'!$A$2:$D$52, 4, FALSE), "")="A-",3.7,IF(IFERROR(VLOOKUP(A105, '4.2'!$A$2:$D$52, 4, FALSE), "")="B+",3.3,IF(IFERROR(VLOOKUP(A105, '4.2'!$A$2:$D$52, 4, FALSE), "")="B",3,IF(IFERROR(VLOOKUP(A105, '4.2'!$A$2:$D$52, 4, FALSE), "")="B-",2.7,IF(IFERROR(VLOOKUP(A105, '4.2'!$A$2:$D$52, 4, FALSE), "")="C+",2.3,IF(IFERROR(VLOOKUP(A105, '4.2'!$A$2:$D$52, 4, FALSE), "")="C",2,IF(IFERROR(VLOOKUP(A105, '4.2'!$A$2:$D$52, 4, FALSE), "")="C-",1.7,IF(IFERROR(VLOOKUP(A105, '4.2'!$A$2:$D$52, 4, FALSE), "")="D+",1.3,IF(IFERROR(VLOOKUP(A105, '4.2'!$A$2:$D$52, 4, FALSE), "")="D",1,IF(IFERROR(VLOOKUP(A105, '4.2'!$A$2:$D$52, 4, FALSE), "")="E",0,"N/A"))))))))))))</f>
        <v>4</v>
      </c>
      <c r="L105" s="29">
        <f t="shared" si="16"/>
        <v>3.8319999999999999</v>
      </c>
      <c r="M105" s="29">
        <f t="shared" si="17"/>
        <v>3.641</v>
      </c>
      <c r="N105" s="29" t="str">
        <f t="shared" si="18"/>
        <v>Honours (120 Cr)</v>
      </c>
      <c r="O105" s="30" t="str">
        <f t="shared" si="19"/>
        <v>Second Class Upper</v>
      </c>
    </row>
    <row r="106" spans="1:15" ht="15.75" customHeight="1" x14ac:dyDescent="0.25">
      <c r="A106" s="27" t="s">
        <v>223</v>
      </c>
      <c r="B106" s="27" t="s">
        <v>224</v>
      </c>
      <c r="C106" s="27">
        <v>3.09</v>
      </c>
      <c r="D106" s="27">
        <v>2.93</v>
      </c>
      <c r="E106" s="28">
        <f>'2.1'!H106</f>
        <v>2.95</v>
      </c>
      <c r="F106" s="27">
        <v>2.5299999999999998</v>
      </c>
      <c r="G106" s="27">
        <f>'3.1'!I106</f>
        <v>2.96</v>
      </c>
      <c r="H106" s="27">
        <v>2.92</v>
      </c>
      <c r="I106" s="29">
        <f t="shared" si="15"/>
        <v>2.8969999999999998</v>
      </c>
      <c r="J106" s="29" t="str">
        <f>IFERROR(VLOOKUP(A106, '4.1'!$A$2:$O$52, 15, FALSE), "N/A")</f>
        <v>N/A</v>
      </c>
      <c r="K106" s="29" t="str">
        <f>IF(IFERROR(VLOOKUP(A106, '4.2'!$A$2:$D$52, 4, FALSE), "")="A+",4,IF(IFERROR(VLOOKUP(A106, '4.2'!$A$2:$D$52, 4, FALSE), "")="A",4,IF(IFERROR(VLOOKUP(A106, '4.2'!$A$2:$D$52, 4, FALSE), "")="A-",3.7,IF(IFERROR(VLOOKUP(A106, '4.2'!$A$2:$D$52, 4, FALSE), "")="B+",3.3,IF(IFERROR(VLOOKUP(A106, '4.2'!$A$2:$D$52, 4, FALSE), "")="B",3,IF(IFERROR(VLOOKUP(A106, '4.2'!$A$2:$D$52, 4, FALSE), "")="B-",2.7,IF(IFERROR(VLOOKUP(A106, '4.2'!$A$2:$D$52, 4, FALSE), "")="C+",2.3,IF(IFERROR(VLOOKUP(A106, '4.2'!$A$2:$D$52, 4, FALSE), "")="C",2,IF(IFERROR(VLOOKUP(A106, '4.2'!$A$2:$D$52, 4, FALSE), "")="C-",1.7,IF(IFERROR(VLOOKUP(A106, '4.2'!$A$2:$D$52, 4, FALSE), "")="D+",1.3,IF(IFERROR(VLOOKUP(A106, '4.2'!$A$2:$D$52, 4, FALSE), "")="D",1,IF(IFERROR(VLOOKUP(A106, '4.2'!$A$2:$D$52, 4, FALSE), "")="E",0,"N/A"))))))))))))</f>
        <v>N/A</v>
      </c>
      <c r="L106" s="29" t="str">
        <f t="shared" si="16"/>
        <v>N/A</v>
      </c>
      <c r="M106" s="29">
        <f t="shared" si="17"/>
        <v>2.8969999999999998</v>
      </c>
      <c r="N106" s="29" t="str">
        <f t="shared" si="18"/>
        <v>General (90 Cr)</v>
      </c>
      <c r="O106" s="30" t="str">
        <f t="shared" si="19"/>
        <v>General Pass</v>
      </c>
    </row>
    <row r="107" spans="1:15" ht="15.75" customHeight="1" x14ac:dyDescent="0.25">
      <c r="A107" s="27" t="s">
        <v>225</v>
      </c>
      <c r="B107" s="27" t="s">
        <v>226</v>
      </c>
      <c r="C107" s="27">
        <v>3.77</v>
      </c>
      <c r="D107" s="27">
        <v>3.29</v>
      </c>
      <c r="E107" s="28">
        <f>'2.1'!H107</f>
        <v>3.49</v>
      </c>
      <c r="F107" s="27">
        <v>3.21</v>
      </c>
      <c r="G107" s="27">
        <f>'3.1'!I107</f>
        <v>3.21</v>
      </c>
      <c r="H107" s="27">
        <v>3.37</v>
      </c>
      <c r="I107" s="29">
        <f t="shared" si="15"/>
        <v>3.39</v>
      </c>
      <c r="J107" s="29">
        <f>IFERROR(VLOOKUP(A107, '4.1'!$A$2:$O$52, 15, FALSE), "N/A")</f>
        <v>3.22</v>
      </c>
      <c r="K107" s="29">
        <f>IF(IFERROR(VLOOKUP(A107, '4.2'!$A$2:$D$52, 4, FALSE), "")="A+",4,IF(IFERROR(VLOOKUP(A107, '4.2'!$A$2:$D$52, 4, FALSE), "")="A",4,IF(IFERROR(VLOOKUP(A107, '4.2'!$A$2:$D$52, 4, FALSE), "")="A-",3.7,IF(IFERROR(VLOOKUP(A107, '4.2'!$A$2:$D$52, 4, FALSE), "")="B+",3.3,IF(IFERROR(VLOOKUP(A107, '4.2'!$A$2:$D$52, 4, FALSE), "")="B",3,IF(IFERROR(VLOOKUP(A107, '4.2'!$A$2:$D$52, 4, FALSE), "")="B-",2.7,IF(IFERROR(VLOOKUP(A107, '4.2'!$A$2:$D$52, 4, FALSE), "")="C+",2.3,IF(IFERROR(VLOOKUP(A107, '4.2'!$A$2:$D$52, 4, FALSE), "")="C",2,IF(IFERROR(VLOOKUP(A107, '4.2'!$A$2:$D$52, 4, FALSE), "")="C-",1.7,IF(IFERROR(VLOOKUP(A107, '4.2'!$A$2:$D$52, 4, FALSE), "")="D+",1.3,IF(IFERROR(VLOOKUP(A107, '4.2'!$A$2:$D$52, 4, FALSE), "")="D",1,IF(IFERROR(VLOOKUP(A107, '4.2'!$A$2:$D$52, 4, FALSE), "")="E",0,"N/A"))))))))))))</f>
        <v>4</v>
      </c>
      <c r="L107" s="29">
        <f t="shared" si="16"/>
        <v>3.3759999999999999</v>
      </c>
      <c r="M107" s="29">
        <f t="shared" si="17"/>
        <v>3.387</v>
      </c>
      <c r="N107" s="29" t="str">
        <f t="shared" si="18"/>
        <v>Honours (120 Cr)</v>
      </c>
      <c r="O107" s="30" t="str">
        <f t="shared" si="19"/>
        <v>Second Class Upper</v>
      </c>
    </row>
    <row r="108" spans="1:15" ht="15.75" customHeight="1" x14ac:dyDescent="0.25">
      <c r="A108" s="27" t="s">
        <v>227</v>
      </c>
      <c r="B108" s="27" t="s">
        <v>228</v>
      </c>
      <c r="C108" s="27">
        <v>2.38</v>
      </c>
      <c r="D108" s="27">
        <v>2.56</v>
      </c>
      <c r="E108" s="28">
        <f>'2.1'!H108</f>
        <v>3.33</v>
      </c>
      <c r="F108" s="27">
        <v>2.63</v>
      </c>
      <c r="G108" s="27">
        <f>'3.1'!I108</f>
        <v>3.07</v>
      </c>
      <c r="H108" s="27">
        <v>3.04</v>
      </c>
      <c r="I108" s="29">
        <f t="shared" si="15"/>
        <v>2.835</v>
      </c>
      <c r="J108" s="29" t="str">
        <f>IFERROR(VLOOKUP(A108, '4.1'!$A$2:$O$52, 15, FALSE), "N/A")</f>
        <v>N/A</v>
      </c>
      <c r="K108" s="29" t="str">
        <f>IF(IFERROR(VLOOKUP(A108, '4.2'!$A$2:$D$52, 4, FALSE), "")="A+",4,IF(IFERROR(VLOOKUP(A108, '4.2'!$A$2:$D$52, 4, FALSE), "")="A",4,IF(IFERROR(VLOOKUP(A108, '4.2'!$A$2:$D$52, 4, FALSE), "")="A-",3.7,IF(IFERROR(VLOOKUP(A108, '4.2'!$A$2:$D$52, 4, FALSE), "")="B+",3.3,IF(IFERROR(VLOOKUP(A108, '4.2'!$A$2:$D$52, 4, FALSE), "")="B",3,IF(IFERROR(VLOOKUP(A108, '4.2'!$A$2:$D$52, 4, FALSE), "")="B-",2.7,IF(IFERROR(VLOOKUP(A108, '4.2'!$A$2:$D$52, 4, FALSE), "")="C+",2.3,IF(IFERROR(VLOOKUP(A108, '4.2'!$A$2:$D$52, 4, FALSE), "")="C",2,IF(IFERROR(VLOOKUP(A108, '4.2'!$A$2:$D$52, 4, FALSE), "")="C-",1.7,IF(IFERROR(VLOOKUP(A108, '4.2'!$A$2:$D$52, 4, FALSE), "")="D+",1.3,IF(IFERROR(VLOOKUP(A108, '4.2'!$A$2:$D$52, 4, FALSE), "")="D",1,IF(IFERROR(VLOOKUP(A108, '4.2'!$A$2:$D$52, 4, FALSE), "")="E",0,"N/A"))))))))))))</f>
        <v>N/A</v>
      </c>
      <c r="L108" s="29" t="str">
        <f t="shared" si="16"/>
        <v>N/A</v>
      </c>
      <c r="M108" s="29">
        <f t="shared" si="17"/>
        <v>2.835</v>
      </c>
      <c r="N108" s="29" t="str">
        <f t="shared" si="18"/>
        <v>General (90 Cr)</v>
      </c>
      <c r="O108" s="30" t="str">
        <f t="shared" si="19"/>
        <v>General Pass</v>
      </c>
    </row>
    <row r="109" spans="1:15" ht="15.75" customHeight="1" x14ac:dyDescent="0.25"/>
    <row r="110" spans="1:15" ht="15.75" customHeight="1" x14ac:dyDescent="0.25"/>
    <row r="111" spans="1:15" ht="15.75" customHeight="1" x14ac:dyDescent="0.25"/>
    <row r="112" spans="1:1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1.1</vt:lpstr>
      <vt:lpstr>1.2</vt:lpstr>
      <vt:lpstr>2.1</vt:lpstr>
      <vt:lpstr>2.2</vt:lpstr>
      <vt:lpstr>3.1</vt:lpstr>
      <vt:lpstr>3.2</vt:lpstr>
      <vt:lpstr>4.1</vt:lpstr>
      <vt:lpstr>4.2</vt:lpstr>
      <vt:lpstr>OGPA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Musny Mubarak</cp:lastModifiedBy>
  <dcterms:created xsi:type="dcterms:W3CDTF">2026-08-01T08:49:19Z</dcterms:created>
  <dcterms:modified xsi:type="dcterms:W3CDTF">2026-09-21T18:08:21Z</dcterms:modified>
</cp:coreProperties>
</file>